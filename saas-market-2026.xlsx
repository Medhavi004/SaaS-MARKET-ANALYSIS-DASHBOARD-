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ttachments\"/>
    </mc:Choice>
  </mc:AlternateContent>
  <xr:revisionPtr revIDLastSave="0" documentId="13_ncr:1_{EB822223-5170-4521-95F9-ACD7958DFFA2}" xr6:coauthVersionLast="47" xr6:coauthVersionMax="47" xr10:uidLastSave="{00000000-0000-0000-0000-000000000000}"/>
  <bookViews>
    <workbookView xWindow="-108" yWindow="-108" windowWidth="23256" windowHeight="12456" activeTab="1" xr2:uid="{9A0D1525-2456-4ACB-844B-3CCE57BA79E2}"/>
  </bookViews>
  <sheets>
    <sheet name="Pivot Table Analysis" sheetId="3" r:id="rId1"/>
    <sheet name="Analysis Report" sheetId="5" r:id="rId2"/>
    <sheet name="saas-market-2026" sheetId="1" r:id="rId3"/>
  </sheets>
  <definedNames>
    <definedName name="_xlnm._FilterDatabase" localSheetId="2" hidden="1">'saas-market-2026'!$A$1:$I$265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3" i="1"/>
  <c r="K3" i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<sst xmlns="http://schemas.openxmlformats.org/spreadsheetml/2006/main" count="1545" uniqueCount="604">
  <si>
    <t>Notion</t>
  </si>
  <si>
    <t>Business</t>
  </si>
  <si>
    <t>Asana</t>
  </si>
  <si>
    <t>Trello</t>
  </si>
  <si>
    <t>Jira</t>
  </si>
  <si>
    <t>Basecamp</t>
  </si>
  <si>
    <t>Wrike</t>
  </si>
  <si>
    <t>Teamwork</t>
  </si>
  <si>
    <t>Linear</t>
  </si>
  <si>
    <t>Height</t>
  </si>
  <si>
    <t>Hive</t>
  </si>
  <si>
    <t>Smartsheet</t>
  </si>
  <si>
    <t>Airtable</t>
  </si>
  <si>
    <t>Todoist</t>
  </si>
  <si>
    <t>Miro</t>
  </si>
  <si>
    <t>Coda</t>
  </si>
  <si>
    <t>Nifty</t>
  </si>
  <si>
    <t>Zoho Projects</t>
  </si>
  <si>
    <t>Salesforce</t>
  </si>
  <si>
    <t>Pipedrive</t>
  </si>
  <si>
    <t>Freshsales</t>
  </si>
  <si>
    <t>Close</t>
  </si>
  <si>
    <t>Copper</t>
  </si>
  <si>
    <t>Insightly</t>
  </si>
  <si>
    <t>Keap</t>
  </si>
  <si>
    <t>Streak</t>
  </si>
  <si>
    <t>Nutshell</t>
  </si>
  <si>
    <t>Folk</t>
  </si>
  <si>
    <t>Attio</t>
  </si>
  <si>
    <t>Mailchimp</t>
  </si>
  <si>
    <t>Brevo (Sendinblue)</t>
  </si>
  <si>
    <t>Klaviyo</t>
  </si>
  <si>
    <t>Drip</t>
  </si>
  <si>
    <t>Constant Contact</t>
  </si>
  <si>
    <t>Omnisend</t>
  </si>
  <si>
    <t>Moosend</t>
  </si>
  <si>
    <t>Campaign Monitor</t>
  </si>
  <si>
    <t>Sender</t>
  </si>
  <si>
    <t>Flodesk</t>
  </si>
  <si>
    <t>Buttondown</t>
  </si>
  <si>
    <t>Loops</t>
  </si>
  <si>
    <t>Wix</t>
  </si>
  <si>
    <t>Squarespace</t>
  </si>
  <si>
    <t>Webflow</t>
  </si>
  <si>
    <t>Framer</t>
  </si>
  <si>
    <t>Carrd</t>
  </si>
  <si>
    <t>Ghost</t>
  </si>
  <si>
    <t>Shopify</t>
  </si>
  <si>
    <t>Weebly</t>
  </si>
  <si>
    <t>Duda</t>
  </si>
  <si>
    <t>Webnode</t>
  </si>
  <si>
    <t>Strikingly</t>
  </si>
  <si>
    <t>10Web</t>
  </si>
  <si>
    <t>Super</t>
  </si>
  <si>
    <t>Typedream</t>
  </si>
  <si>
    <t>Unicorn Platform</t>
  </si>
  <si>
    <t>Cloudways</t>
  </si>
  <si>
    <t>Hostinger</t>
  </si>
  <si>
    <t>Kinsta</t>
  </si>
  <si>
    <t>Vercel</t>
  </si>
  <si>
    <t>Netlify</t>
  </si>
  <si>
    <t>Railway</t>
  </si>
  <si>
    <t>Render</t>
  </si>
  <si>
    <t>Hetzner</t>
  </si>
  <si>
    <t>Vultr</t>
  </si>
  <si>
    <t>Linode (Akamai Cloud)</t>
  </si>
  <si>
    <t>A2 Hosting</t>
  </si>
  <si>
    <t>Bluehost</t>
  </si>
  <si>
    <t>Namecheap</t>
  </si>
  <si>
    <t>Figma</t>
  </si>
  <si>
    <t>Canva</t>
  </si>
  <si>
    <t>Sketch</t>
  </si>
  <si>
    <t>Affinity Designer</t>
  </si>
  <si>
    <t>Adobe Illustrator</t>
  </si>
  <si>
    <t>Adobe Photoshop</t>
  </si>
  <si>
    <t>Lunacy</t>
  </si>
  <si>
    <t>Procreate</t>
  </si>
  <si>
    <t>Pixlr</t>
  </si>
  <si>
    <t>Spline</t>
  </si>
  <si>
    <t>Whimsical</t>
  </si>
  <si>
    <t>Xero</t>
  </si>
  <si>
    <t>Wave</t>
  </si>
  <si>
    <t>Zoho Books</t>
  </si>
  <si>
    <t>Sage Business Cloud Accounting</t>
  </si>
  <si>
    <t>Kashoo</t>
  </si>
  <si>
    <t>Bench</t>
  </si>
  <si>
    <t>Bonsai</t>
  </si>
  <si>
    <t>Harvest</t>
  </si>
  <si>
    <t>Akaunting</t>
  </si>
  <si>
    <t>Hurdlr</t>
  </si>
  <si>
    <t>Patriot Software</t>
  </si>
  <si>
    <t>Zoom</t>
  </si>
  <si>
    <t>Google Meet</t>
  </si>
  <si>
    <t>Microsoft Teams</t>
  </si>
  <si>
    <t>Whereby</t>
  </si>
  <si>
    <t>Loom</t>
  </si>
  <si>
    <t>Livestorm</t>
  </si>
  <si>
    <t>Vowel</t>
  </si>
  <si>
    <t>Butter</t>
  </si>
  <si>
    <t>Dialpad</t>
  </si>
  <si>
    <t>Slack</t>
  </si>
  <si>
    <t>Zendesk Sell</t>
  </si>
  <si>
    <t>Tilda</t>
  </si>
  <si>
    <t>Mailjet</t>
  </si>
  <si>
    <t>Demio</t>
  </si>
  <si>
    <t>Claude</t>
  </si>
  <si>
    <t>Google Gemini</t>
  </si>
  <si>
    <t>Jasper</t>
  </si>
  <si>
    <t>Grammarly</t>
  </si>
  <si>
    <t>1Password</t>
  </si>
  <si>
    <t>Bitwarden</t>
  </si>
  <si>
    <t>Dashlane</t>
  </si>
  <si>
    <t>Surfshark</t>
  </si>
  <si>
    <t>Midjourney</t>
  </si>
  <si>
    <t>Stable Diffusion</t>
  </si>
  <si>
    <t>Adobe Firefly</t>
  </si>
  <si>
    <t>Synthesia</t>
  </si>
  <si>
    <t>Runway</t>
  </si>
  <si>
    <t>Pika</t>
  </si>
  <si>
    <t>Cursor</t>
  </si>
  <si>
    <t>Codeium</t>
  </si>
  <si>
    <t>Make (Integromat)</t>
  </si>
  <si>
    <t>Hugging Face</t>
  </si>
  <si>
    <t>Writesonic</t>
  </si>
  <si>
    <t>Rytr</t>
  </si>
  <si>
    <t>Wordtune</t>
  </si>
  <si>
    <t>Sudowrite</t>
  </si>
  <si>
    <t>Copysmith</t>
  </si>
  <si>
    <t>Ideogram</t>
  </si>
  <si>
    <t>Luminar Neo</t>
  </si>
  <si>
    <t>Tabnine</t>
  </si>
  <si>
    <t>Windsurf (Codeium)</t>
  </si>
  <si>
    <t>Phind</t>
  </si>
  <si>
    <t>Microsoft Copilot</t>
  </si>
  <si>
    <t>Consensus</t>
  </si>
  <si>
    <t>Elicit</t>
  </si>
  <si>
    <t>Suno</t>
  </si>
  <si>
    <t>Udio</t>
  </si>
  <si>
    <t>Adobe Podcast (Enhance)</t>
  </si>
  <si>
    <t>Gamma</t>
  </si>
  <si>
    <t>Tome</t>
  </si>
  <si>
    <t>Descript</t>
  </si>
  <si>
    <t>Grok</t>
  </si>
  <si>
    <t>Gemini Advanced</t>
  </si>
  <si>
    <t>Claude 3.5 Sonnet</t>
  </si>
  <si>
    <t>Gemini 1.5 Pro</t>
  </si>
  <si>
    <t>Grok 2</t>
  </si>
  <si>
    <t>Devin</t>
  </si>
  <si>
    <t>Intercom Fin</t>
  </si>
  <si>
    <t>Tidio</t>
  </si>
  <si>
    <t>Chatbase</t>
  </si>
  <si>
    <t>Botpress</t>
  </si>
  <si>
    <t>Voiceflow</t>
  </si>
  <si>
    <t>Windsurf</t>
  </si>
  <si>
    <t>Sora</t>
  </si>
  <si>
    <t>Speechify</t>
  </si>
  <si>
    <t>3Commas</t>
  </si>
  <si>
    <t>Crypto</t>
  </si>
  <si>
    <t>Cryptohopper</t>
  </si>
  <si>
    <t>Pionex</t>
  </si>
  <si>
    <t>Bitsgap</t>
  </si>
  <si>
    <t>Cornix</t>
  </si>
  <si>
    <t>Altrady</t>
  </si>
  <si>
    <t>Glassnode</t>
  </si>
  <si>
    <t>Nansen</t>
  </si>
  <si>
    <t>Santiment</t>
  </si>
  <si>
    <t>Dune Analytics</t>
  </si>
  <si>
    <t>Token Terminal</t>
  </si>
  <si>
    <t>Koinly</t>
  </si>
  <si>
    <t>Accointing (Blockpit)</t>
  </si>
  <si>
    <t>Delta</t>
  </si>
  <si>
    <t>Zerion</t>
  </si>
  <si>
    <t>Coinbase</t>
  </si>
  <si>
    <t>Ledger</t>
  </si>
  <si>
    <t>Trezor</t>
  </si>
  <si>
    <t>Category</t>
  </si>
  <si>
    <t>Project-Management</t>
  </si>
  <si>
    <t>Crm</t>
  </si>
  <si>
    <t>Email-Marketing</t>
  </si>
  <si>
    <t>Website-Builders</t>
  </si>
  <si>
    <t>Cloud-Hosting</t>
  </si>
  <si>
    <t>Design-Tools</t>
  </si>
  <si>
    <t>Accounting</t>
  </si>
  <si>
    <t>Video-Conferencing</t>
  </si>
  <si>
    <t>Llm</t>
  </si>
  <si>
    <t>Ai-Writing</t>
  </si>
  <si>
    <t>Password-Managers</t>
  </si>
  <si>
    <t>Vpn</t>
  </si>
  <si>
    <t>Ai-Image</t>
  </si>
  <si>
    <t>Ai-Video</t>
  </si>
  <si>
    <t>Ai-Coding</t>
  </si>
  <si>
    <t>Ai-Voice</t>
  </si>
  <si>
    <t>Ai-Agents</t>
  </si>
  <si>
    <t>Ai-Productivity</t>
  </si>
  <si>
    <t>Ai-Assistants</t>
  </si>
  <si>
    <t>Crypto-Trading-Bots</t>
  </si>
  <si>
    <t>Crypto-Analytics</t>
  </si>
  <si>
    <t>Crypto-Tax</t>
  </si>
  <si>
    <t>Crypto-Portfolio-Trackers</t>
  </si>
  <si>
    <t>Crypto-Exchanges</t>
  </si>
  <si>
    <t>Crypto-Wallets</t>
  </si>
  <si>
    <t>Tool_Name</t>
  </si>
  <si>
    <t>Clickup</t>
  </si>
  <si>
    <t>Monday.Com</t>
  </si>
  <si>
    <t>Shortcut (Formerly Clubhouse)</t>
  </si>
  <si>
    <t>Hubspot</t>
  </si>
  <si>
    <t>Zoho Crm</t>
  </si>
  <si>
    <t>Less Annoying Crm</t>
  </si>
  <si>
    <t>Monday Crm</t>
  </si>
  <si>
    <t>Capsule Crm</t>
  </si>
  <si>
    <t>Kit (Convertkit)</t>
  </si>
  <si>
    <t>Activecampaign</t>
  </si>
  <si>
    <t>Aweber</t>
  </si>
  <si>
    <t>Getresponse</t>
  </si>
  <si>
    <t>Mailerlite</t>
  </si>
  <si>
    <t>Beehiiv</t>
  </si>
  <si>
    <t>Wordpress.Com</t>
  </si>
  <si>
    <t>Digitalocean</t>
  </si>
  <si>
    <t>Siteground</t>
  </si>
  <si>
    <t>Fly.Io</t>
  </si>
  <si>
    <t>Wp Engine</t>
  </si>
  <si>
    <t>Adobe Xd</t>
  </si>
  <si>
    <t>Quickbooks Online</t>
  </si>
  <si>
    <t>Freshbooks</t>
  </si>
  <si>
    <t>Freeagent</t>
  </si>
  <si>
    <t>Manager.Io</t>
  </si>
  <si>
    <t>Webex By Cisco</t>
  </si>
  <si>
    <t>Goto Meeting</t>
  </si>
  <si>
    <t>Riverside.Fm</t>
  </si>
  <si>
    <t>Cal.Com (Cal Video)</t>
  </si>
  <si>
    <t>Ringcentral</t>
  </si>
  <si>
    <t>Sugarcrm</t>
  </si>
  <si>
    <t>Hostgator</t>
  </si>
  <si>
    <t>Hubspot Cms</t>
  </si>
  <si>
    <t>Clickfunnels</t>
  </si>
  <si>
    <t>Twilio Sendgrid</t>
  </si>
  <si>
    <t>Coreldraw</t>
  </si>
  <si>
    <t>Chatgpt</t>
  </si>
  <si>
    <t>Lastpass</t>
  </si>
  <si>
    <t>Nordpass</t>
  </si>
  <si>
    <t>Nordvpn</t>
  </si>
  <si>
    <t>Expressvpn</t>
  </si>
  <si>
    <t>Protonvpn</t>
  </si>
  <si>
    <t>Cyberghost</t>
  </si>
  <si>
    <t>Dall-E 3</t>
  </si>
  <si>
    <t>Leonardo Ai</t>
  </si>
  <si>
    <t>Heygen</t>
  </si>
  <si>
    <t>Github Copilot</t>
  </si>
  <si>
    <t>Elevenlabs</t>
  </si>
  <si>
    <t>Murf Ai</t>
  </si>
  <si>
    <t>Play.Ht</t>
  </si>
  <si>
    <t>N8N</t>
  </si>
  <si>
    <t>Perplexity Ai</t>
  </si>
  <si>
    <t>Notion Ai</t>
  </si>
  <si>
    <t>Quillbot</t>
  </si>
  <si>
    <t>Prowritingaid</t>
  </si>
  <si>
    <t>Ai21 Studio</t>
  </si>
  <si>
    <t>Canva Ai</t>
  </si>
  <si>
    <t>Kling Ai</t>
  </si>
  <si>
    <t>Luma Ai (Dream Machine)</t>
  </si>
  <si>
    <t>Topaz Labs Ai</t>
  </si>
  <si>
    <t>Remove.Bg</t>
  </si>
  <si>
    <t>Replit Ai</t>
  </si>
  <si>
    <t>Bolt.New</t>
  </si>
  <si>
    <t>V0 By Vercel</t>
  </si>
  <si>
    <t>Zapier Ai</t>
  </si>
  <si>
    <t>Character.Ai</t>
  </si>
  <si>
    <t>You.Com</t>
  </si>
  <si>
    <t>Otter.Ai</t>
  </si>
  <si>
    <t>Fireflies.Ai</t>
  </si>
  <si>
    <t>Mem Ai</t>
  </si>
  <si>
    <t>Beautiful.Ai</t>
  </si>
  <si>
    <t>Capcut Ai</t>
  </si>
  <si>
    <t>Vidiq Ai</t>
  </si>
  <si>
    <t>Invideo Ai</t>
  </si>
  <si>
    <t>Obviously Ai</t>
  </si>
  <si>
    <t>Gpt-4O</t>
  </si>
  <si>
    <t>Openai O1</t>
  </si>
  <si>
    <t>Relevance Ai</t>
  </si>
  <si>
    <t>Surfer Seo</t>
  </si>
  <si>
    <t>Tradesanta</t>
  </si>
  <si>
    <t>Wundertrading</t>
  </si>
  <si>
    <t>Coinglass</t>
  </si>
  <si>
    <t>Intotheblock</t>
  </si>
  <si>
    <t>Cointracker</t>
  </si>
  <si>
    <t>Tokentax</t>
  </si>
  <si>
    <t>Zenledger</t>
  </si>
  <si>
    <t>Coinledger</t>
  </si>
  <si>
    <t>Coinstats</t>
  </si>
  <si>
    <t>Debank</t>
  </si>
  <si>
    <t>Coingecko</t>
  </si>
  <si>
    <t>Ai</t>
  </si>
  <si>
    <t>Free_Plan</t>
  </si>
  <si>
    <t>True</t>
  </si>
  <si>
    <t>False</t>
  </si>
  <si>
    <t>Highest_Plan_Price_Usd</t>
  </si>
  <si>
    <t>Plan_Count</t>
  </si>
  <si>
    <t>Rrating</t>
  </si>
  <si>
    <t>Features_Count</t>
  </si>
  <si>
    <t>Website</t>
  </si>
  <si>
    <t>Https://Www.Notion.Com</t>
  </si>
  <si>
    <t>Https://Clickup.Com</t>
  </si>
  <si>
    <t>Https://Asana.Com</t>
  </si>
  <si>
    <t>Https://Monday.Com</t>
  </si>
  <si>
    <t>Https://Trello.Com</t>
  </si>
  <si>
    <t>Https://Www.Atlassian.Com/Software/Jira</t>
  </si>
  <si>
    <t>Https://Basecamp.Com</t>
  </si>
  <si>
    <t>Https://Www.Wrike.Com</t>
  </si>
  <si>
    <t>Https://Www.Teamwork.Com</t>
  </si>
  <si>
    <t>Https://Linear.App</t>
  </si>
  <si>
    <t>Https://Height.App</t>
  </si>
  <si>
    <t>Https://Hive.Com</t>
  </si>
  <si>
    <t>Https://Www.Smartsheet.Com</t>
  </si>
  <si>
    <t>Https://Airtable.Com</t>
  </si>
  <si>
    <t>Https://Todoist.Com</t>
  </si>
  <si>
    <t>Https://Miro.Com</t>
  </si>
  <si>
    <t>Https://Coda.Io</t>
  </si>
  <si>
    <t>Https://Shortcut.Com</t>
  </si>
  <si>
    <t>Https://Niftypm.Com</t>
  </si>
  <si>
    <t>Https://Www.Zoho.Com/Projects/</t>
  </si>
  <si>
    <t>Https://Www.Salesforce.Com</t>
  </si>
  <si>
    <t>Https://Www.Hubspot.Com</t>
  </si>
  <si>
    <t>Https://Www.Pipedrive.Com</t>
  </si>
  <si>
    <t>Https://Www.Zoho.Com/Crm/</t>
  </si>
  <si>
    <t>Https://Www.Freshworks.Com/Crm/Sales/</t>
  </si>
  <si>
    <t>Https://Close.Com</t>
  </si>
  <si>
    <t>Https://Www.Copper.Com</t>
  </si>
  <si>
    <t>Https://Www.Insightly.Com</t>
  </si>
  <si>
    <t>Https://Keap.Com</t>
  </si>
  <si>
    <t>Https://Www.Streak.Com</t>
  </si>
  <si>
    <t>Https://Www.Nutshell.Com</t>
  </si>
  <si>
    <t>Https://Www.Lessannoyingcrm.Com</t>
  </si>
  <si>
    <t>Https://Monday.Com/Crm</t>
  </si>
  <si>
    <t>Https://Www.Folk.App</t>
  </si>
  <si>
    <t>Https://Capsulecrm.Com</t>
  </si>
  <si>
    <t>Https://Attio.Com</t>
  </si>
  <si>
    <t>Https://Mailchimp.Com</t>
  </si>
  <si>
    <t>Https://Kit.Com</t>
  </si>
  <si>
    <t>Https://Www.Activecampaign.Com</t>
  </si>
  <si>
    <t>Https://Www.Brevo.Com</t>
  </si>
  <si>
    <t>Https://Www.Klaviyo.Com</t>
  </si>
  <si>
    <t>Https://Www.Drip.Com</t>
  </si>
  <si>
    <t>Https://Www.Aweber.Com</t>
  </si>
  <si>
    <t>Https://Www.Getresponse.Com</t>
  </si>
  <si>
    <t>Https://Www.Constantcontact.Com</t>
  </si>
  <si>
    <t>Https://Www.Mailerlite.Com</t>
  </si>
  <si>
    <t>Https://Www.Beehiiv.Com</t>
  </si>
  <si>
    <t>Https://Www.Omnisend.Com</t>
  </si>
  <si>
    <t>Https://Moosend.Com</t>
  </si>
  <si>
    <t>Https://Www.Campaignmonitor.Com</t>
  </si>
  <si>
    <t>Https://Www.Sender.Net</t>
  </si>
  <si>
    <t>Https://Flodesk.Com</t>
  </si>
  <si>
    <t>Https://Buttondown.Com</t>
  </si>
  <si>
    <t>Https://Loops.So</t>
  </si>
  <si>
    <t>Https://Wordpress.Com</t>
  </si>
  <si>
    <t>Https://Www.Wix.Com</t>
  </si>
  <si>
    <t>Https://Www.Squarespace.Com</t>
  </si>
  <si>
    <t>Https://Webflow.Com</t>
  </si>
  <si>
    <t>Https://Www.Framer.Com</t>
  </si>
  <si>
    <t>Https://Carrd.Co</t>
  </si>
  <si>
    <t>Https://Ghost.Org</t>
  </si>
  <si>
    <t>Https://Www.Shopify.Com</t>
  </si>
  <si>
    <t>Https://Www.Weebly.Com</t>
  </si>
  <si>
    <t>Https://Www.Duda.Co</t>
  </si>
  <si>
    <t>Https://Www.Webnode.Com</t>
  </si>
  <si>
    <t>Https://Www.Strikingly.Com</t>
  </si>
  <si>
    <t>Https://10Web.Io</t>
  </si>
  <si>
    <t>Https://Super.So</t>
  </si>
  <si>
    <t>Https://Typedream.Com</t>
  </si>
  <si>
    <t>Https://Unicornplatform.Com</t>
  </si>
  <si>
    <t>Https://Www.Cloudways.Com</t>
  </si>
  <si>
    <t>Https://Www.Digitalocean.Com</t>
  </si>
  <si>
    <t>Https://Www.Hostinger.Com</t>
  </si>
  <si>
    <t>Https://Www.Siteground.Com</t>
  </si>
  <si>
    <t>Https://Kinsta.Com</t>
  </si>
  <si>
    <t>Https://Vercel.Com</t>
  </si>
  <si>
    <t>Https://Www.Netlify.Com</t>
  </si>
  <si>
    <t>Https://Fly.Io</t>
  </si>
  <si>
    <t>Https://Railway.App</t>
  </si>
  <si>
    <t>Https://Render.Com</t>
  </si>
  <si>
    <t>Https://Www.Hetzner.Com</t>
  </si>
  <si>
    <t>Https://Www.Vultr.Com</t>
  </si>
  <si>
    <t>Https://Www.Linode.Com</t>
  </si>
  <si>
    <t>Https://Www.A2Hosting.Com</t>
  </si>
  <si>
    <t>Https://Www.Bluehost.Com</t>
  </si>
  <si>
    <t>Https://Www.Namecheap.Com</t>
  </si>
  <si>
    <t>Https://Wpengine.Com</t>
  </si>
  <si>
    <t>Https://Www.Figma.Com</t>
  </si>
  <si>
    <t>Https://Www.Canva.Com</t>
  </si>
  <si>
    <t>Https://Www.Adobe.Com/Products/Xd.Html</t>
  </si>
  <si>
    <t>Https://Www.Sketch.Com</t>
  </si>
  <si>
    <t>Https://Affinity.Serif.Com/En-Us/Designer/</t>
  </si>
  <si>
    <t>Https://Www.Adobe.Com/Products/Illustrator.Html</t>
  </si>
  <si>
    <t>Https://Www.Adobe.Com/Products/Photoshop.Html</t>
  </si>
  <si>
    <t>Https://Icons8.Com/Lunacy</t>
  </si>
  <si>
    <t>Https://Procreate.Com</t>
  </si>
  <si>
    <t>Https://Pixlr.Com</t>
  </si>
  <si>
    <t>Https://Spline.Design</t>
  </si>
  <si>
    <t>Https://Whimsical.Com</t>
  </si>
  <si>
    <t>Https://Quickbooks.Intuit.Com</t>
  </si>
  <si>
    <t>Https://Www.Xero.Com</t>
  </si>
  <si>
    <t>Https://Www.Freshbooks.Com</t>
  </si>
  <si>
    <t>Https://Www.Waveapps.Com</t>
  </si>
  <si>
    <t>Https://Www.Zoho.Com/Books/</t>
  </si>
  <si>
    <t>Https://Www.Sage.Com/En-Us/Accounting-Software/</t>
  </si>
  <si>
    <t>Https://Www.Kashoo.Com</t>
  </si>
  <si>
    <t>Https://Bench.Co</t>
  </si>
  <si>
    <t>Https://Www.Freeagent.Com</t>
  </si>
  <si>
    <t>Https://Www.Hellobonsai.Com</t>
  </si>
  <si>
    <t>Https://Www.Getharvest.Com</t>
  </si>
  <si>
    <t>Https://Akaunting.Com</t>
  </si>
  <si>
    <t>Https://Www.Manager.Io</t>
  </si>
  <si>
    <t>Https://Www.Hurdlr.Com</t>
  </si>
  <si>
    <t>Https://Www.Patriotsoftware.Com</t>
  </si>
  <si>
    <t>Https://Zoom.Com</t>
  </si>
  <si>
    <t>Https://Meet.Google.Com</t>
  </si>
  <si>
    <t>Https://Www.Microsoft.Com/Microsoft-Teams</t>
  </si>
  <si>
    <t>Https://Whereby.Com</t>
  </si>
  <si>
    <t>Https://Www.Loom.Com</t>
  </si>
  <si>
    <t>Https://Www.Webex.Com</t>
  </si>
  <si>
    <t>Https://Www.Goto.Com/Meeting</t>
  </si>
  <si>
    <t>Https://Livestorm.Co</t>
  </si>
  <si>
    <t>Https://Riverside.Com</t>
  </si>
  <si>
    <t>Https://Www.Vowel.Com</t>
  </si>
  <si>
    <t>Https://Cal.Com</t>
  </si>
  <si>
    <t>Https://Butter.Us</t>
  </si>
  <si>
    <t>Https://Www.Dialpad.Com</t>
  </si>
  <si>
    <t>Https://Slack.Com</t>
  </si>
  <si>
    <t>Https://Www.Ringcentral.Com</t>
  </si>
  <si>
    <t>Https://Www.Sugarcrm.Com</t>
  </si>
  <si>
    <t>Https://Www.Zendesk.Com/Sell/</t>
  </si>
  <si>
    <t>Https://Www.Hostgator.Com</t>
  </si>
  <si>
    <t>Https://Www.Hubspot.Com/Products/Cms</t>
  </si>
  <si>
    <t>Https://Tilda.Cc</t>
  </si>
  <si>
    <t>Https://Www.Clickfunnels.Com</t>
  </si>
  <si>
    <t>Https://Www.Mailjet.Com</t>
  </si>
  <si>
    <t>Https://Sendgrid.Com</t>
  </si>
  <si>
    <t>Https://Demio.Com</t>
  </si>
  <si>
    <t>Https://Www.Coreldraw.Com</t>
  </si>
  <si>
    <t>Https://Chatgpt.Com</t>
  </si>
  <si>
    <t>Https://Claude.Ai</t>
  </si>
  <si>
    <t>Https://Gemini.Google.Com</t>
  </si>
  <si>
    <t>Https://Www.Jasper.Ai</t>
  </si>
  <si>
    <t>Https://Www.Grammarly.Com</t>
  </si>
  <si>
    <t>Https://1Password.Com</t>
  </si>
  <si>
    <t>Https://Bitwarden.Com</t>
  </si>
  <si>
    <t>Https://Www.Lastpass.Com</t>
  </si>
  <si>
    <t>Https://Www.Dashlane.Com</t>
  </si>
  <si>
    <t>Https://Nordpass.Com</t>
  </si>
  <si>
    <t>Https://Nordvpn.Com</t>
  </si>
  <si>
    <t>Https://Www.Expressvpn.Com</t>
  </si>
  <si>
    <t>Https://Surfshark.Com</t>
  </si>
  <si>
    <t>Https://Protonvpn.Com</t>
  </si>
  <si>
    <t>Https://Www.Cyberghostvpn.Com</t>
  </si>
  <si>
    <t>Https://Midjourney.Com</t>
  </si>
  <si>
    <t>Https://Openai.Com/Dall-E-3</t>
  </si>
  <si>
    <t>Https://Stability.Ai</t>
  </si>
  <si>
    <t>Https://Firefly.Adobe.Com</t>
  </si>
  <si>
    <t>Https://Leonardo.Ai</t>
  </si>
  <si>
    <t>Https://Synthesia.Io</t>
  </si>
  <si>
    <t>Https://Heygen.Com</t>
  </si>
  <si>
    <t>Https://Runwayml.Com</t>
  </si>
  <si>
    <t>Https://Pika.Art</t>
  </si>
  <si>
    <t>Https://Github.Com/Features/Copilot</t>
  </si>
  <si>
    <t>Https://Cursor.Com</t>
  </si>
  <si>
    <t>Https://Windsurf.Com</t>
  </si>
  <si>
    <t>Https://Elevenlabs.Io</t>
  </si>
  <si>
    <t>Https://Murf.Ai</t>
  </si>
  <si>
    <t>Https://Play.Ht</t>
  </si>
  <si>
    <t>Https://N8N.Io</t>
  </si>
  <si>
    <t>Https://Make.Com</t>
  </si>
  <si>
    <t>Https://Perplexity.Ai</t>
  </si>
  <si>
    <t>Https://Huggingface.Co</t>
  </si>
  <si>
    <t>Https://Writesonic.Com</t>
  </si>
  <si>
    <t>Https://Notion.So/Product/Ai</t>
  </si>
  <si>
    <t>Https://Rytr.Me</t>
  </si>
  <si>
    <t>Https://Wordtune.Com</t>
  </si>
  <si>
    <t>Https://Quillbot.Com</t>
  </si>
  <si>
    <t>Https://Sudowrite.Com</t>
  </si>
  <si>
    <t>Https://Prowritingaid.Com</t>
  </si>
  <si>
    <t>Https://Copysmith.Ai</t>
  </si>
  <si>
    <t>Https://Studio.Ai21.Com</t>
  </si>
  <si>
    <t>Https://Canva.Com/Ai-Image-Generator</t>
  </si>
  <si>
    <t>Https://Ideogram.Ai</t>
  </si>
  <si>
    <t>Https://Kling.Ai</t>
  </si>
  <si>
    <t>Https://Lumalabs.Ai</t>
  </si>
  <si>
    <t>Https://Topazlabs.Com</t>
  </si>
  <si>
    <t>Https://Skylum.Com/Luminar-Neo</t>
  </si>
  <si>
    <t>Https://Remove.Bg</t>
  </si>
  <si>
    <t>Https://Tabnine.Com</t>
  </si>
  <si>
    <t>Https://Replit.Com/Ai</t>
  </si>
  <si>
    <t>Https://Bolt.New</t>
  </si>
  <si>
    <t>Https://V0.App</t>
  </si>
  <si>
    <t>Https://Codeium.Com/Windsurf</t>
  </si>
  <si>
    <t>Https://Phind.Com</t>
  </si>
  <si>
    <t>Https://Zapier.Com/Ai</t>
  </si>
  <si>
    <t>Https://Character.Ai</t>
  </si>
  <si>
    <t>Https://Copilot.Microsoft.Com</t>
  </si>
  <si>
    <t>Https://You.Com</t>
  </si>
  <si>
    <t>Https://Consensus.App</t>
  </si>
  <si>
    <t>Https://Elicit.Com</t>
  </si>
  <si>
    <t>Https://Suno.Com</t>
  </si>
  <si>
    <t>Https://Udio.Com</t>
  </si>
  <si>
    <t>Https://Podcast.Adobe.Com</t>
  </si>
  <si>
    <t>Https://Otter.Ai</t>
  </si>
  <si>
    <t>Https://Fireflies.Ai</t>
  </si>
  <si>
    <t>Https://Mem.Ai</t>
  </si>
  <si>
    <t>Https://Beautiful.Ai</t>
  </si>
  <si>
    <t>Https://Gamma.App</t>
  </si>
  <si>
    <t>Https://Tome.App</t>
  </si>
  <si>
    <t>Https://Descript.Com</t>
  </si>
  <si>
    <t>Https://Capcut.Com</t>
  </si>
  <si>
    <t>Https://Vidiq.Com</t>
  </si>
  <si>
    <t>Https://Invideo.Io</t>
  </si>
  <si>
    <t>Https://Zams.Com</t>
  </si>
  <si>
    <t>Https://X.Ai/Grok</t>
  </si>
  <si>
    <t>Https://Gemini.Google.Com/Advanced</t>
  </si>
  <si>
    <t>Https://Openai.Com/Gpt-4O</t>
  </si>
  <si>
    <t>Https://Openai.Com/O1</t>
  </si>
  <si>
    <t>Https://Devin.Ai</t>
  </si>
  <si>
    <t>Https://Relevanceai.Com</t>
  </si>
  <si>
    <t>Https://Intercom.Com/Fin</t>
  </si>
  <si>
    <t>Https://Tidio.Com</t>
  </si>
  <si>
    <t>Https://Chatbase.Co</t>
  </si>
  <si>
    <t>Https://Botpress.Com</t>
  </si>
  <si>
    <t>Https://Voiceflow.Com</t>
  </si>
  <si>
    <t>Https://Surferseo.Com</t>
  </si>
  <si>
    <t>Https://Openai.Com/Sora</t>
  </si>
  <si>
    <t>Https://Speechify.Com</t>
  </si>
  <si>
    <t>Https://3Commas.Io</t>
  </si>
  <si>
    <t>Https://Www.Cryptohopper.Com</t>
  </si>
  <si>
    <t>Https://Www.Pionex.Com</t>
  </si>
  <si>
    <t>Https://Bitsgap.Com</t>
  </si>
  <si>
    <t>Https://Www.Cornix.Io</t>
  </si>
  <si>
    <t>Https://Tradesanta.Com</t>
  </si>
  <si>
    <t>Https://Wundertrading.Com</t>
  </si>
  <si>
    <t>Https://Altrady.Com</t>
  </si>
  <si>
    <t>Https://Www.Coinglass.Com</t>
  </si>
  <si>
    <t>Https://Glassnode.Com</t>
  </si>
  <si>
    <t>Https://Www.Nansen.Ai</t>
  </si>
  <si>
    <t>Https://Santiment.Net</t>
  </si>
  <si>
    <t>Https://Dune.Com</t>
  </si>
  <si>
    <t>Https://Tokenterminal.Com</t>
  </si>
  <si>
    <t>Https://Www.Intotheblock.Com</t>
  </si>
  <si>
    <t>Https://Koinly.Io</t>
  </si>
  <si>
    <t>Https://Www.Cointracker.Io</t>
  </si>
  <si>
    <t>Https://Tokentax.Co</t>
  </si>
  <si>
    <t>Https://Www.Zenledger.Io</t>
  </si>
  <si>
    <t>Https://Coinledger.Io</t>
  </si>
  <si>
    <t>Https://Www.Blockpit.Io</t>
  </si>
  <si>
    <t>Https://Coinstats.App</t>
  </si>
  <si>
    <t>Https://Delta.App</t>
  </si>
  <si>
    <t>Https://Zerion.Io</t>
  </si>
  <si>
    <t>Https://Debank.Com</t>
  </si>
  <si>
    <t>Https://Www.Coingecko.Com</t>
  </si>
  <si>
    <t>Https://Www.Coinbase.Com</t>
  </si>
  <si>
    <t>Https://Www.Ledger.Com</t>
  </si>
  <si>
    <t>Https://Trezor.Io</t>
  </si>
  <si>
    <t>Price_Category</t>
  </si>
  <si>
    <t>Rating Level</t>
  </si>
  <si>
    <t>Free Plan Label</t>
  </si>
  <si>
    <t>Value Score</t>
  </si>
  <si>
    <r>
      <t>Starting_Price_</t>
    </r>
    <r>
      <rPr>
        <b/>
        <u/>
        <sz val="14"/>
        <color theme="0"/>
        <rFont val="Aptos Narrow"/>
        <family val="2"/>
        <scheme val="minor"/>
      </rPr>
      <t>U</t>
    </r>
    <r>
      <rPr>
        <b/>
        <sz val="14"/>
        <color theme="0"/>
        <rFont val="Aptos Narrow"/>
        <family val="2"/>
        <scheme val="minor"/>
      </rPr>
      <t>sd</t>
    </r>
  </si>
  <si>
    <t>Row Labels</t>
  </si>
  <si>
    <t>Count of Tool_Name</t>
  </si>
  <si>
    <t>No Free Plan</t>
  </si>
  <si>
    <t>Free Plan</t>
  </si>
  <si>
    <t>Average</t>
  </si>
  <si>
    <t>Excellent</t>
  </si>
  <si>
    <t>Good</t>
  </si>
  <si>
    <t>Average of Value Score</t>
  </si>
  <si>
    <t>Count of Tool_Name2</t>
  </si>
  <si>
    <t>Average of Starting_Price_Usd</t>
  </si>
  <si>
    <t>Average of Highest_Plan_Price_Usd</t>
  </si>
  <si>
    <t>Average of Features_Count</t>
  </si>
  <si>
    <t xml:space="preserve">Category </t>
  </si>
  <si>
    <t>Average of Rrating</t>
  </si>
  <si>
    <t>Business Segment</t>
  </si>
  <si>
    <t>Count of Free_Plan</t>
  </si>
  <si>
    <t>Total Tools</t>
  </si>
  <si>
    <t>Average Rating</t>
  </si>
  <si>
    <t>Average Starting Price</t>
  </si>
  <si>
    <t>Average of Highest Price</t>
  </si>
  <si>
    <t>Tools in Percentage</t>
  </si>
  <si>
    <t>represents 31.82%, while Crypto represents 10.98%</t>
  </si>
  <si>
    <r>
      <rPr>
        <b/>
        <sz val="14"/>
        <color theme="1"/>
        <rFont val="Aptos Narrow"/>
        <family val="2"/>
        <scheme val="minor"/>
      </rPr>
      <t>Insigh</t>
    </r>
    <r>
      <rPr>
        <sz val="14"/>
        <color theme="1"/>
        <rFont val="Aptos Narrow"/>
        <family val="2"/>
        <scheme val="minor"/>
      </rPr>
      <t>t: Business is the largest vertical, accounting for 151 of the 264 analyzed SaaS products (57.20%).</t>
    </r>
  </si>
  <si>
    <r>
      <rPr>
        <b/>
        <sz val="14"/>
        <color theme="1"/>
        <rFont val="Aptos Narrow"/>
        <family val="2"/>
        <scheme val="minor"/>
      </rPr>
      <t>Insight</t>
    </r>
    <r>
      <rPr>
        <sz val="14"/>
        <color theme="1"/>
        <rFont val="Aptos Narrow"/>
        <family val="2"/>
        <scheme val="minor"/>
      </rPr>
      <t>: 70.08% of the analyzed SaaS products offer a free plan, while 29.92% do not.</t>
    </r>
  </si>
  <si>
    <r>
      <t>Recommendation:</t>
    </r>
    <r>
      <rPr>
        <sz val="14"/>
        <color theme="1"/>
        <rFont val="Aptos Narrow"/>
        <family val="2"/>
        <scheme val="minor"/>
      </rPr>
      <t xml:space="preserve"> SaaS companies can evaluate free-tier strategies as a way to reduce the barrier to initial user adoption.</t>
    </r>
  </si>
  <si>
    <t>Good. Only 1.89% are classified as Average, indicating generally strong product ratings across the dataset.</t>
  </si>
  <si>
    <r>
      <t>Insight:</t>
    </r>
    <r>
      <rPr>
        <sz val="14"/>
        <color theme="1"/>
        <rFont val="Aptos Narrow"/>
        <family val="2"/>
        <scheme val="minor"/>
      </rPr>
      <t xml:space="preserve"> 56.06% of products are classified as Excellent and 42.05% as Good. Only 1.89% are classified as</t>
    </r>
  </si>
  <si>
    <t>at $13.21, while Crypto has the highest average maximum plan price at $315.22.</t>
  </si>
  <si>
    <r>
      <t>Insight:</t>
    </r>
    <r>
      <rPr>
        <sz val="14"/>
        <color theme="1"/>
        <rFont val="Aptos Narrow"/>
        <family val="2"/>
        <scheme val="minor"/>
      </rPr>
      <t xml:space="preserve"> AI has the lowest average starting price at $7.15. Business has the highest average starting price</t>
    </r>
  </si>
  <si>
    <t>Pricing varies considerably across verticals, indicating differences in product positioning and pricing strategies.</t>
  </si>
  <si>
    <t>average rating of 4.51. However, AI-Writing has a higher average rating of 4.60 with fewer average</t>
  </si>
  <si>
    <t>features, suggesting that having more features does not necessarily result in the highest rating.</t>
  </si>
  <si>
    <r>
      <t>Insight:</t>
    </r>
    <r>
      <rPr>
        <sz val="14"/>
        <color theme="1"/>
        <rFont val="Aptos Narrow"/>
        <family val="2"/>
        <scheme val="minor"/>
      </rPr>
      <t xml:space="preserve"> Project Management has a high average feature count of 30.10 while maintaining a strong</t>
    </r>
  </si>
  <si>
    <t xml:space="preserve"> </t>
  </si>
  <si>
    <t>AI</t>
  </si>
  <si>
    <r>
      <t>Insight:</t>
    </r>
    <r>
      <rPr>
        <sz val="14"/>
        <color theme="1"/>
        <rFont val="Aptos Narrow"/>
        <family val="2"/>
        <scheme val="minor"/>
      </rPr>
      <t xml:space="preserve"> Project Management has the highest average Value Score at 128.96, significantly higher than the other categories shown</t>
    </r>
  </si>
  <si>
    <t>This indicates a strong combination of ratings and features relative to starting price based on the project's Value Score formula.</t>
  </si>
  <si>
    <t>The analysis of 264 SaaS products shows a market with strong product ratings and widespread free-plan</t>
  </si>
  <si>
    <t>adoption. Business is the largest vertical, while AI has the lowest average starting price. Project</t>
  </si>
  <si>
    <t>Management demonstrates the highest average Value Score in the analysis. Overall, pricing, features,</t>
  </si>
  <si>
    <t>ratings and free-plan availability provide useful dimensions for evaluating SaaS market positioning.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</si>
</sst>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18" fillId="33" borderId="10" xfId="42" applyNumberFormat="1" applyFont="1" applyFill="1" applyBorder="1" applyAlignment="1">
      <alignment horizontal="center"/>
    </xf>
    <xf numFmtId="164" fontId="0" fillId="0" borderId="10" xfId="42" applyNumberFormat="1" applyFont="1" applyBorder="1" applyAlignment="1">
      <alignment horizontal="center"/>
    </xf>
    <xf numFmtId="164" fontId="0" fillId="0" borderId="0" xfId="42" applyNumberFormat="1" applyFont="1"/>
    <xf numFmtId="164" fontId="18" fillId="33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2" fontId="0" fillId="0" borderId="0" xfId="0" pivotButton="1" applyNumberFormat="1"/>
    <xf numFmtId="2" fontId="0" fillId="0" borderId="1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Protection="1"/>
    <xf numFmtId="0" fontId="0" fillId="0" borderId="0" xfId="0" applyNumberFormat="1" applyAlignment="1" applyProtection="1">
      <alignment horizontal="center"/>
    </xf>
    <xf numFmtId="2" fontId="0" fillId="0" borderId="0" xfId="0" applyNumberFormat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0" fontId="0" fillId="0" borderId="0" xfId="0" applyNumberFormat="1" applyAlignment="1">
      <alignment horizontal="center"/>
    </xf>
    <xf numFmtId="0" fontId="20" fillId="0" borderId="0" xfId="0" applyFont="1" applyProtection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20" fillId="0" borderId="0" xfId="0" applyFont="1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15240</xdr:rowOff>
    </xdr:from>
    <xdr:to>
      <xdr:col>8</xdr:col>
      <xdr:colOff>15240</xdr:colOff>
      <xdr:row>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D8DDC3-A72C-BAEB-4CF9-D1528D15B986}"/>
            </a:ext>
          </a:extLst>
        </xdr:cNvPr>
        <xdr:cNvSpPr/>
      </xdr:nvSpPr>
      <xdr:spPr>
        <a:xfrm>
          <a:off x="22860" y="15240"/>
          <a:ext cx="7993380" cy="38862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/>
            <a:t>                                         SaaS MARKET ANALYSIS REPORT</a:t>
          </a:r>
        </a:p>
      </xdr:txBody>
    </xdr:sp>
    <xdr:clientData/>
  </xdr:twoCellAnchor>
  <xdr:twoCellAnchor>
    <xdr:from>
      <xdr:col>0</xdr:col>
      <xdr:colOff>15240</xdr:colOff>
      <xdr:row>4</xdr:row>
      <xdr:rowOff>7620</xdr:rowOff>
    </xdr:from>
    <xdr:to>
      <xdr:col>8</xdr:col>
      <xdr:colOff>0</xdr:colOff>
      <xdr:row>5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685E97-06FA-EAC2-B088-886FB3B260F1}"/>
            </a:ext>
          </a:extLst>
        </xdr:cNvPr>
        <xdr:cNvSpPr/>
      </xdr:nvSpPr>
      <xdr:spPr>
        <a:xfrm>
          <a:off x="15240" y="739140"/>
          <a:ext cx="797814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                 KPI OVERVIEW</a:t>
          </a:r>
        </a:p>
      </xdr:txBody>
    </xdr:sp>
    <xdr:clientData/>
  </xdr:twoCellAnchor>
  <xdr:twoCellAnchor>
    <xdr:from>
      <xdr:col>0</xdr:col>
      <xdr:colOff>0</xdr:colOff>
      <xdr:row>11</xdr:row>
      <xdr:rowOff>15240</xdr:rowOff>
    </xdr:from>
    <xdr:to>
      <xdr:col>7</xdr:col>
      <xdr:colOff>594360</xdr:colOff>
      <xdr:row>13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B96E760-B01C-4424-B6EB-8EA80321183B}"/>
            </a:ext>
          </a:extLst>
        </xdr:cNvPr>
        <xdr:cNvSpPr/>
      </xdr:nvSpPr>
      <xdr:spPr>
        <a:xfrm>
          <a:off x="0" y="2026920"/>
          <a:ext cx="724662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       </a:t>
          </a:r>
          <a:r>
            <a:rPr lang="en-US" sz="1800" b="1" baseline="0"/>
            <a:t> </a:t>
          </a:r>
          <a:r>
            <a:rPr lang="en-US" sz="1800" b="1"/>
            <a:t> MARKET</a:t>
          </a:r>
          <a:r>
            <a:rPr lang="en-US" sz="1800" b="1" baseline="0"/>
            <a:t> DISTRUBUTION </a:t>
          </a:r>
          <a:endParaRPr lang="en-US" sz="1800" b="1"/>
        </a:p>
      </xdr:txBody>
    </xdr:sp>
    <xdr:clientData/>
  </xdr:twoCellAnchor>
  <xdr:twoCellAnchor>
    <xdr:from>
      <xdr:col>0</xdr:col>
      <xdr:colOff>22860</xdr:colOff>
      <xdr:row>18</xdr:row>
      <xdr:rowOff>198120</xdr:rowOff>
    </xdr:from>
    <xdr:to>
      <xdr:col>7</xdr:col>
      <xdr:colOff>594360</xdr:colOff>
      <xdr:row>21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F3A4883-525D-AEE8-FBFE-70270A37B513}"/>
            </a:ext>
          </a:extLst>
        </xdr:cNvPr>
        <xdr:cNvSpPr/>
      </xdr:nvSpPr>
      <xdr:spPr>
        <a:xfrm>
          <a:off x="22860" y="3489960"/>
          <a:ext cx="9441180" cy="4648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182880</xdr:rowOff>
    </xdr:from>
    <xdr:to>
      <xdr:col>7</xdr:col>
      <xdr:colOff>594360</xdr:colOff>
      <xdr:row>23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85E0C5D-417D-48E6-8CE8-18239B0989D8}"/>
            </a:ext>
          </a:extLst>
        </xdr:cNvPr>
        <xdr:cNvSpPr/>
      </xdr:nvSpPr>
      <xdr:spPr>
        <a:xfrm>
          <a:off x="0" y="4137660"/>
          <a:ext cx="782574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          FREE</a:t>
          </a:r>
          <a:r>
            <a:rPr lang="en-US" sz="1800" b="1" baseline="0"/>
            <a:t> PLAN ANALYSIS</a:t>
          </a:r>
          <a:endParaRPr lang="en-US" sz="1800" b="1"/>
        </a:p>
      </xdr:txBody>
    </xdr:sp>
    <xdr:clientData/>
  </xdr:twoCellAnchor>
  <xdr:twoCellAnchor>
    <xdr:from>
      <xdr:col>0</xdr:col>
      <xdr:colOff>0</xdr:colOff>
      <xdr:row>33</xdr:row>
      <xdr:rowOff>60960</xdr:rowOff>
    </xdr:from>
    <xdr:to>
      <xdr:col>7</xdr:col>
      <xdr:colOff>594360</xdr:colOff>
      <xdr:row>35</xdr:row>
      <xdr:rowOff>45720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D8164C0-318E-4E95-ABC8-BCA0B3A57B5F}"/>
            </a:ext>
          </a:extLst>
        </xdr:cNvPr>
        <xdr:cNvSpPr/>
      </xdr:nvSpPr>
      <xdr:spPr>
        <a:xfrm>
          <a:off x="0" y="6438900"/>
          <a:ext cx="782574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  </a:t>
          </a:r>
          <a:r>
            <a:rPr lang="en-US" sz="1800" b="1" baseline="0"/>
            <a:t>PRODUCT QUALITY ANALYSIS</a:t>
          </a:r>
          <a:endParaRPr lang="en-US" sz="1800" b="1"/>
        </a:p>
      </xdr:txBody>
    </xdr:sp>
    <xdr:clientData/>
  </xdr:twoCellAnchor>
  <xdr:twoCellAnchor>
    <xdr:from>
      <xdr:col>0</xdr:col>
      <xdr:colOff>0</xdr:colOff>
      <xdr:row>45</xdr:row>
      <xdr:rowOff>137160</xdr:rowOff>
    </xdr:from>
    <xdr:to>
      <xdr:col>7</xdr:col>
      <xdr:colOff>594360</xdr:colOff>
      <xdr:row>47</xdr:row>
      <xdr:rowOff>121920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30F35EE-A261-48A4-B5DA-BC4ABC85C3B4}"/>
            </a:ext>
          </a:extLst>
        </xdr:cNvPr>
        <xdr:cNvSpPr/>
      </xdr:nvSpPr>
      <xdr:spPr>
        <a:xfrm>
          <a:off x="0" y="8801100"/>
          <a:ext cx="782574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          </a:t>
          </a:r>
          <a:r>
            <a:rPr lang="en-US" sz="1800" b="1" baseline="0"/>
            <a:t>PRICING ANALYSIS</a:t>
          </a:r>
          <a:endParaRPr lang="en-US" sz="1800" b="1"/>
        </a:p>
      </xdr:txBody>
    </xdr:sp>
    <xdr:clientData/>
  </xdr:twoCellAnchor>
  <xdr:twoCellAnchor>
    <xdr:from>
      <xdr:col>0</xdr:col>
      <xdr:colOff>0</xdr:colOff>
      <xdr:row>59</xdr:row>
      <xdr:rowOff>45720</xdr:rowOff>
    </xdr:from>
    <xdr:to>
      <xdr:col>7</xdr:col>
      <xdr:colOff>594360</xdr:colOff>
      <xdr:row>61</xdr:row>
      <xdr:rowOff>30480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F718D54-91E2-4A65-90A3-446524114CFF}"/>
            </a:ext>
          </a:extLst>
        </xdr:cNvPr>
        <xdr:cNvSpPr/>
      </xdr:nvSpPr>
      <xdr:spPr>
        <a:xfrm>
          <a:off x="0" y="11407140"/>
          <a:ext cx="905256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FEATURES</a:t>
          </a:r>
          <a:r>
            <a:rPr lang="en-US" sz="1800" b="1" baseline="0"/>
            <a:t> AND RATING ANALYSIS</a:t>
          </a:r>
          <a:endParaRPr lang="en-US" sz="1800" b="1"/>
        </a:p>
      </xdr:txBody>
    </xdr:sp>
    <xdr:clientData/>
  </xdr:twoCellAnchor>
  <xdr:twoCellAnchor>
    <xdr:from>
      <xdr:col>0</xdr:col>
      <xdr:colOff>0</xdr:colOff>
      <xdr:row>94</xdr:row>
      <xdr:rowOff>15240</xdr:rowOff>
    </xdr:from>
    <xdr:to>
      <xdr:col>7</xdr:col>
      <xdr:colOff>594360</xdr:colOff>
      <xdr:row>96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58D55ED-6C49-4CFE-9B30-EFF7BF9195D9}"/>
            </a:ext>
          </a:extLst>
        </xdr:cNvPr>
        <xdr:cNvSpPr/>
      </xdr:nvSpPr>
      <xdr:spPr>
        <a:xfrm>
          <a:off x="0" y="17914620"/>
          <a:ext cx="946404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</a:t>
          </a:r>
          <a:r>
            <a:rPr lang="en-US" sz="1800" b="1" baseline="0"/>
            <a:t>                            VALUE ANALYSIS</a:t>
          </a:r>
          <a:endParaRPr lang="en-US" sz="1800" b="1"/>
        </a:p>
      </xdr:txBody>
    </xdr:sp>
    <xdr:clientData/>
  </xdr:twoCellAnchor>
  <xdr:twoCellAnchor>
    <xdr:from>
      <xdr:col>0</xdr:col>
      <xdr:colOff>0</xdr:colOff>
      <xdr:row>128</xdr:row>
      <xdr:rowOff>38100</xdr:rowOff>
    </xdr:from>
    <xdr:to>
      <xdr:col>7</xdr:col>
      <xdr:colOff>594360</xdr:colOff>
      <xdr:row>130</xdr:row>
      <xdr:rowOff>22860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9908E79-24BA-4D38-B4E1-B0B5CB07C3BE}"/>
            </a:ext>
          </a:extLst>
        </xdr:cNvPr>
        <xdr:cNvSpPr/>
      </xdr:nvSpPr>
      <xdr:spPr>
        <a:xfrm>
          <a:off x="0" y="24246840"/>
          <a:ext cx="9464040" cy="3505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                                                   </a:t>
          </a:r>
          <a:r>
            <a:rPr lang="en-US" sz="1800" b="1" baseline="0"/>
            <a:t>                                            conclusion</a:t>
          </a:r>
          <a:endParaRPr lang="en-US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1" refreshedDate="46247.169566087963" createdVersion="8" refreshedVersion="8" minRefreshableVersion="3" recordCount="264" xr:uid="{E1DC0AC2-182A-4BCD-9E9F-9B424D65BC13}">
  <cacheSource type="worksheet">
    <worksheetSource ref="A1:N265" sheet="saas-market-2026"/>
  </cacheSource>
  <cacheFields count="14">
    <cacheField name="Tool_Name" numFmtId="0">
      <sharedItems count="262">
        <s v="Notion"/>
        <s v="Clickup"/>
        <s v="Asana"/>
        <s v="Monday.Com"/>
        <s v="Trello"/>
        <s v="Jira"/>
        <s v="Basecamp"/>
        <s v="Wrike"/>
        <s v="Teamwork"/>
        <s v="Linear"/>
        <s v="Height"/>
        <s v="Hive"/>
        <s v="Smartsheet"/>
        <s v="Airtable"/>
        <s v="Todoist"/>
        <s v="Miro"/>
        <s v="Coda"/>
        <s v="Shortcut (Formerly Clubhouse)"/>
        <s v="Nifty"/>
        <s v="Zoho Projects"/>
        <s v="Salesforce"/>
        <s v="Hubspot"/>
        <s v="Pipedrive"/>
        <s v="Zoho Crm"/>
        <s v="Freshsales"/>
        <s v="Close"/>
        <s v="Copper"/>
        <s v="Insightly"/>
        <s v="Keap"/>
        <s v="Streak"/>
        <s v="Nutshell"/>
        <s v="Less Annoying Crm"/>
        <s v="Monday Crm"/>
        <s v="Folk"/>
        <s v="Capsule Crm"/>
        <s v="Attio"/>
        <s v="Mailchimp"/>
        <s v="Kit (Convertkit)"/>
        <s v="Activecampaign"/>
        <s v="Brevo (Sendinblue)"/>
        <s v="Klaviyo"/>
        <s v="Drip"/>
        <s v="Aweber"/>
        <s v="Getresponse"/>
        <s v="Constant Contact"/>
        <s v="Mailerlite"/>
        <s v="Beehiiv"/>
        <s v="Omnisend"/>
        <s v="Moosend"/>
        <s v="Campaign Monitor"/>
        <s v="Sender"/>
        <s v="Flodesk"/>
        <s v="Buttondown"/>
        <s v="Loops"/>
        <s v="Wordpress.Com"/>
        <s v="Wix"/>
        <s v="Squarespace"/>
        <s v="Webflow"/>
        <s v="Framer"/>
        <s v="Carrd"/>
        <s v="Ghost"/>
        <s v="Shopify"/>
        <s v="Weebly"/>
        <s v="Duda"/>
        <s v="Webnode"/>
        <s v="Strikingly"/>
        <s v="10Web"/>
        <s v="Super"/>
        <s v="Typedream"/>
        <s v="Unicorn Platform"/>
        <s v="Cloudways"/>
        <s v="Digitalocean"/>
        <s v="Hostinger"/>
        <s v="Siteground"/>
        <s v="Kinsta"/>
        <s v="Vercel"/>
        <s v="Netlify"/>
        <s v="Fly.Io"/>
        <s v="Railway"/>
        <s v="Render"/>
        <s v="Hetzner"/>
        <s v="Vultr"/>
        <s v="Linode (Akamai Cloud)"/>
        <s v="A2 Hosting"/>
        <s v="Bluehost"/>
        <s v="Namecheap"/>
        <s v="Wp Engine"/>
        <s v="Figma"/>
        <s v="Canva"/>
        <s v="Adobe Xd"/>
        <s v="Sketch"/>
        <s v="Affinity Designer"/>
        <s v="Adobe Illustrator"/>
        <s v="Adobe Photoshop"/>
        <s v="Lunacy"/>
        <s v="Procreate"/>
        <s v="Pixlr"/>
        <s v="Spline"/>
        <s v="Whimsical"/>
        <s v="Quickbooks Online"/>
        <s v="Xero"/>
        <s v="Freshbooks"/>
        <s v="Wave"/>
        <s v="Zoho Books"/>
        <s v="Sage Business Cloud Accounting"/>
        <s v="Kashoo"/>
        <s v="Bench"/>
        <s v="Freeagent"/>
        <s v="Bonsai"/>
        <s v="Harvest"/>
        <s v="Akaunting"/>
        <s v="Manager.Io"/>
        <s v="Hurdlr"/>
        <s v="Patriot Software"/>
        <s v="Zoom"/>
        <s v="Google Meet"/>
        <s v="Microsoft Teams"/>
        <s v="Whereby"/>
        <s v="Loom"/>
        <s v="Webex By Cisco"/>
        <s v="Goto Meeting"/>
        <s v="Livestorm"/>
        <s v="Riverside.Fm"/>
        <s v="Vowel"/>
        <s v="Cal.Com (Cal Video)"/>
        <s v="Butter"/>
        <s v="Dialpad"/>
        <s v="Slack"/>
        <s v="Ringcentral"/>
        <s v="Sugarcrm"/>
        <s v="Zendesk Sell"/>
        <s v="Hostgator"/>
        <s v="Hubspot Cms"/>
        <s v="Tilda"/>
        <s v="Clickfunnels"/>
        <s v="Mailjet"/>
        <s v="Twilio Sendgrid"/>
        <s v="Demio"/>
        <s v="Coreldraw"/>
        <s v="Chatgpt"/>
        <s v="Claude"/>
        <s v="Google Gemini"/>
        <s v="Jasper"/>
        <s v="Grammarly"/>
        <s v="1Password"/>
        <s v="Bitwarden"/>
        <s v="Lastpass"/>
        <s v="Dashlane"/>
        <s v="Nordpass"/>
        <s v="Nordvpn"/>
        <s v="Expressvpn"/>
        <s v="Surfshark"/>
        <s v="Protonvpn"/>
        <s v="Cyberghost"/>
        <s v="Midjourney"/>
        <s v="Dall-E 3"/>
        <s v="Stable Diffusion"/>
        <s v="Adobe Firefly"/>
        <s v="Leonardo Ai"/>
        <s v="Synthesia"/>
        <s v="Heygen"/>
        <s v="Runway"/>
        <s v="Pika"/>
        <s v="Github Copilot"/>
        <s v="Cursor"/>
        <s v="Codeium"/>
        <s v="Elevenlabs"/>
        <s v="Murf Ai"/>
        <s v="Play.Ht"/>
        <s v="N8N"/>
        <s v="Make (Integromat)"/>
        <s v="Perplexity Ai"/>
        <s v="Hugging Face"/>
        <s v="Writesonic"/>
        <s v="Notion Ai"/>
        <s v="Rytr"/>
        <s v="Wordtune"/>
        <s v="Quillbot"/>
        <s v="Sudowrite"/>
        <s v="Prowritingaid"/>
        <s v="Copysmith"/>
        <s v="Ai21 Studio"/>
        <s v="Canva Ai"/>
        <s v="Ideogram"/>
        <s v="Kling Ai"/>
        <s v="Luma Ai (Dream Machine)"/>
        <s v="Topaz Labs Ai"/>
        <s v="Luminar Neo"/>
        <s v="Remove.Bg"/>
        <s v="Tabnine"/>
        <s v="Replit Ai"/>
        <s v="Bolt.New"/>
        <s v="V0 By Vercel"/>
        <s v="Windsurf (Codeium)"/>
        <s v="Phind"/>
        <s v="Zapier Ai"/>
        <s v="Character.Ai"/>
        <s v="Microsoft Copilot"/>
        <s v="You.Com"/>
        <s v="Consensus"/>
        <s v="Elicit"/>
        <s v="Suno"/>
        <s v="Udio"/>
        <s v="Adobe Podcast (Enhance)"/>
        <s v="Otter.Ai"/>
        <s v="Fireflies.Ai"/>
        <s v="Mem Ai"/>
        <s v="Beautiful.Ai"/>
        <s v="Gamma"/>
        <s v="Tome"/>
        <s v="Descript"/>
        <s v="Capcut Ai"/>
        <s v="Vidiq Ai"/>
        <s v="Invideo Ai"/>
        <s v="Obviously Ai"/>
        <s v="Grok"/>
        <s v="Gemini Advanced"/>
        <s v="Gpt-4O"/>
        <s v="Claude 3.5 Sonnet"/>
        <s v="Gemini 1.5 Pro"/>
        <s v="Grok 2"/>
        <s v="Openai O1"/>
        <s v="Devin"/>
        <s v="Relevance Ai"/>
        <s v="Intercom Fin"/>
        <s v="Tidio"/>
        <s v="Chatbase"/>
        <s v="Botpress"/>
        <s v="Voiceflow"/>
        <s v="Windsurf"/>
        <s v="Surfer Seo"/>
        <s v="Sora"/>
        <s v="Speechify"/>
        <s v="3Commas"/>
        <s v="Cryptohopper"/>
        <s v="Pionex"/>
        <s v="Bitsgap"/>
        <s v="Cornix"/>
        <s v="Tradesanta"/>
        <s v="Wundertrading"/>
        <s v="Altrady"/>
        <s v="Coinglass"/>
        <s v="Glassnode"/>
        <s v="Nansen"/>
        <s v="Santiment"/>
        <s v="Dune Analytics"/>
        <s v="Token Terminal"/>
        <s v="Intotheblock"/>
        <s v="Koinly"/>
        <s v="Cointracker"/>
        <s v="Tokentax"/>
        <s v="Zenledger"/>
        <s v="Coinledger"/>
        <s v="Accointing (Blockpit)"/>
        <s v="Coinstats"/>
        <s v="Delta"/>
        <s v="Zerion"/>
        <s v="Debank"/>
        <s v="Coingecko"/>
        <s v="Coinbase"/>
        <s v="Ledger"/>
        <s v="Trezor"/>
      </sharedItems>
    </cacheField>
    <cacheField name="Category" numFmtId="0">
      <sharedItems count="25">
        <s v="Project-Management"/>
        <s v="Crm"/>
        <s v="Email-Marketing"/>
        <s v="Website-Builders"/>
        <s v="Cloud-Hosting"/>
        <s v="Design-Tools"/>
        <s v="Accounting"/>
        <s v="Video-Conferencing"/>
        <s v="Llm"/>
        <s v="Ai-Writing"/>
        <s v="Password-Managers"/>
        <s v="Vpn"/>
        <s v="Ai-Image"/>
        <s v="Ai-Video"/>
        <s v="Ai-Coding"/>
        <s v="Ai-Voice"/>
        <s v="Ai-Agents"/>
        <s v="Ai-Productivity"/>
        <s v="Ai-Assistants"/>
        <s v="Crypto-Trading-Bots"/>
        <s v="Crypto-Analytics"/>
        <s v="Crypto-Tax"/>
        <s v="Crypto-Portfolio-Trackers"/>
        <s v="Crypto-Exchanges"/>
        <s v="Crypto-Wallets"/>
      </sharedItems>
    </cacheField>
    <cacheField name="Business Segment" numFmtId="0">
      <sharedItems count="3">
        <s v="Business"/>
        <s v="Ai"/>
        <s v="Crypto"/>
      </sharedItems>
    </cacheField>
    <cacheField name="Free_Plan" numFmtId="0">
      <sharedItems count="2">
        <s v="True"/>
        <s v="False"/>
      </sharedItems>
    </cacheField>
    <cacheField name="Starting_Price_Usd" numFmtId="164">
      <sharedItems containsSemiMixedTypes="0" containsString="0" containsNumber="1" minValue="0" maxValue="399"/>
    </cacheField>
    <cacheField name="Highest_Plan_Price_Usd" numFmtId="164">
      <sharedItems containsSemiMixedTypes="0" containsString="0" containsNumber="1" minValue="4" maxValue="3600"/>
    </cacheField>
    <cacheField name="Plan_Count" numFmtId="0">
      <sharedItems containsSemiMixedTypes="0" containsString="0" containsNumber="1" containsInteger="1" minValue="1" maxValue="5"/>
    </cacheField>
    <cacheField name="Rrating" numFmtId="0">
      <sharedItems containsSemiMixedTypes="0" containsString="0" containsNumber="1" minValue="3.5" maxValue="4.9000000000000004"/>
    </cacheField>
    <cacheField name="Features_Count" numFmtId="0">
      <sharedItems containsSemiMixedTypes="0" containsString="0" containsNumber="1" containsInteger="1" minValue="8" maxValue="48"/>
    </cacheField>
    <cacheField name="Website" numFmtId="0">
      <sharedItems/>
    </cacheField>
    <cacheField name="Price_Category" numFmtId="0">
      <sharedItems/>
    </cacheField>
    <cacheField name="Rating Level" numFmtId="0">
      <sharedItems count="3">
        <s v="Excellent"/>
        <s v="Good"/>
        <s v="Average"/>
      </sharedItems>
    </cacheField>
    <cacheField name="Free Plan Label" numFmtId="0">
      <sharedItems count="2">
        <s v="Free Plan"/>
        <s v="No Free Plan"/>
      </sharedItems>
    </cacheField>
    <cacheField name="Value Score" numFmtId="2">
      <sharedItems containsSemiMixedTypes="0" containsString="0" containsNumber="1" minValue="0.16125" maxValue="22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x v="0"/>
    <x v="0"/>
    <x v="0"/>
    <n v="0"/>
    <n v="18"/>
    <n v="4"/>
    <n v="4.7"/>
    <n v="32"/>
    <s v="Https://Www.Notion.Com"/>
    <s v="Free"/>
    <x v="0"/>
    <x v="0"/>
    <n v="150.4"/>
  </r>
  <r>
    <x v="1"/>
    <x v="0"/>
    <x v="0"/>
    <x v="0"/>
    <n v="0"/>
    <n v="12"/>
    <n v="4"/>
    <n v="4.7"/>
    <n v="47"/>
    <s v="Https://Clickup.Com"/>
    <s v="Free"/>
    <x v="0"/>
    <x v="0"/>
    <n v="220.9"/>
  </r>
  <r>
    <x v="2"/>
    <x v="0"/>
    <x v="0"/>
    <x v="0"/>
    <n v="0"/>
    <n v="24.99"/>
    <n v="4"/>
    <n v="4.4000000000000004"/>
    <n v="31"/>
    <s v="Https://Asana.Com"/>
    <s v="Free"/>
    <x v="1"/>
    <x v="0"/>
    <n v="136.4"/>
  </r>
  <r>
    <x v="3"/>
    <x v="0"/>
    <x v="0"/>
    <x v="0"/>
    <n v="0"/>
    <n v="19"/>
    <n v="5"/>
    <n v="4.7"/>
    <n v="45"/>
    <s v="Https://Monday.Com"/>
    <s v="Free"/>
    <x v="0"/>
    <x v="0"/>
    <n v="211.5"/>
  </r>
  <r>
    <x v="4"/>
    <x v="0"/>
    <x v="0"/>
    <x v="0"/>
    <n v="0"/>
    <n v="17.5"/>
    <n v="4"/>
    <n v="4.4000000000000004"/>
    <n v="18"/>
    <s v="Https://Trello.Com"/>
    <s v="Free"/>
    <x v="1"/>
    <x v="0"/>
    <n v="79.2"/>
  </r>
  <r>
    <x v="5"/>
    <x v="0"/>
    <x v="0"/>
    <x v="0"/>
    <n v="0"/>
    <n v="14.54"/>
    <n v="4"/>
    <n v="4.3"/>
    <n v="42"/>
    <s v="Https://Www.Atlassian.Com/Software/Jira"/>
    <s v="Free"/>
    <x v="1"/>
    <x v="0"/>
    <n v="180.6"/>
  </r>
  <r>
    <x v="6"/>
    <x v="0"/>
    <x v="0"/>
    <x v="0"/>
    <n v="0"/>
    <n v="299"/>
    <n v="3"/>
    <n v="4.0999999999999996"/>
    <n v="14"/>
    <s v="Https://Basecamp.Com"/>
    <s v="Free"/>
    <x v="1"/>
    <x v="0"/>
    <n v="57.399999999999991"/>
  </r>
  <r>
    <x v="7"/>
    <x v="0"/>
    <x v="0"/>
    <x v="0"/>
    <n v="0"/>
    <n v="25"/>
    <n v="4"/>
    <n v="4.2"/>
    <n v="39"/>
    <s v="Https://Www.Wrike.Com"/>
    <s v="Free"/>
    <x v="1"/>
    <x v="0"/>
    <n v="163.80000000000001"/>
  </r>
  <r>
    <x v="8"/>
    <x v="0"/>
    <x v="0"/>
    <x v="0"/>
    <n v="0"/>
    <n v="69.989999999999995"/>
    <n v="4"/>
    <n v="4.4000000000000004"/>
    <n v="45"/>
    <s v="Https://Www.Teamwork.Com"/>
    <s v="Free"/>
    <x v="1"/>
    <x v="0"/>
    <n v="198.00000000000003"/>
  </r>
  <r>
    <x v="9"/>
    <x v="0"/>
    <x v="0"/>
    <x v="0"/>
    <n v="0"/>
    <n v="16"/>
    <n v="4"/>
    <n v="4.5999999999999996"/>
    <n v="22"/>
    <s v="Https://Linear.App"/>
    <s v="Free"/>
    <x v="0"/>
    <x v="0"/>
    <n v="101.19999999999999"/>
  </r>
  <r>
    <x v="10"/>
    <x v="0"/>
    <x v="0"/>
    <x v="0"/>
    <n v="0"/>
    <n v="15"/>
    <n v="3"/>
    <n v="4.8"/>
    <n v="25"/>
    <s v="Https://Height.App"/>
    <s v="Free"/>
    <x v="0"/>
    <x v="0"/>
    <n v="120"/>
  </r>
  <r>
    <x v="11"/>
    <x v="0"/>
    <x v="0"/>
    <x v="0"/>
    <n v="0"/>
    <n v="12"/>
    <n v="4"/>
    <n v="4.5999999999999996"/>
    <n v="40"/>
    <s v="Https://Hive.Com"/>
    <s v="Free"/>
    <x v="0"/>
    <x v="0"/>
    <n v="184"/>
  </r>
  <r>
    <x v="12"/>
    <x v="0"/>
    <x v="0"/>
    <x v="1"/>
    <n v="9"/>
    <n v="19"/>
    <n v="3"/>
    <n v="4.5"/>
    <n v="35"/>
    <s v="Https://Www.Smartsheet.Com"/>
    <s v="Low"/>
    <x v="0"/>
    <x v="1"/>
    <n v="15.75"/>
  </r>
  <r>
    <x v="13"/>
    <x v="0"/>
    <x v="0"/>
    <x v="0"/>
    <n v="0"/>
    <n v="45"/>
    <n v="4"/>
    <n v="4.5999999999999996"/>
    <n v="27"/>
    <s v="Https://Airtable.Com"/>
    <s v="Free"/>
    <x v="0"/>
    <x v="0"/>
    <n v="124.19999999999999"/>
  </r>
  <r>
    <x v="14"/>
    <x v="0"/>
    <x v="0"/>
    <x v="0"/>
    <n v="0"/>
    <n v="8"/>
    <n v="3"/>
    <n v="4.4000000000000004"/>
    <n v="43"/>
    <s v="Https://Todoist.Com"/>
    <s v="Free"/>
    <x v="1"/>
    <x v="0"/>
    <n v="189.20000000000002"/>
  </r>
  <r>
    <x v="15"/>
    <x v="0"/>
    <x v="0"/>
    <x v="0"/>
    <n v="0"/>
    <n v="20"/>
    <n v="4"/>
    <n v="4.8"/>
    <n v="28"/>
    <s v="Https://Miro.Com"/>
    <s v="Free"/>
    <x v="0"/>
    <x v="0"/>
    <n v="134.4"/>
  </r>
  <r>
    <x v="16"/>
    <x v="0"/>
    <x v="0"/>
    <x v="0"/>
    <n v="0"/>
    <n v="30"/>
    <n v="4"/>
    <n v="4.7"/>
    <n v="24"/>
    <s v="Https://Coda.Io"/>
    <s v="Free"/>
    <x v="0"/>
    <x v="0"/>
    <n v="112.80000000000001"/>
  </r>
  <r>
    <x v="17"/>
    <x v="0"/>
    <x v="0"/>
    <x v="0"/>
    <n v="0"/>
    <n v="12"/>
    <n v="4"/>
    <n v="4.3"/>
    <n v="15"/>
    <s v="Https://Shortcut.Com"/>
    <s v="Free"/>
    <x v="1"/>
    <x v="0"/>
    <n v="64.5"/>
  </r>
  <r>
    <x v="18"/>
    <x v="0"/>
    <x v="0"/>
    <x v="0"/>
    <n v="0"/>
    <n v="399"/>
    <n v="4"/>
    <n v="4.7"/>
    <n v="15"/>
    <s v="Https://Niftypm.Com"/>
    <s v="Free"/>
    <x v="0"/>
    <x v="0"/>
    <n v="70.5"/>
  </r>
  <r>
    <x v="19"/>
    <x v="0"/>
    <x v="0"/>
    <x v="0"/>
    <n v="0"/>
    <n v="10"/>
    <n v="3"/>
    <n v="4.3"/>
    <n v="15"/>
    <s v="Https://Www.Zoho.Com/Projects/"/>
    <s v="Free"/>
    <x v="1"/>
    <x v="0"/>
    <n v="64.5"/>
  </r>
  <r>
    <x v="20"/>
    <x v="1"/>
    <x v="0"/>
    <x v="1"/>
    <n v="25"/>
    <n v="330"/>
    <n v="4"/>
    <n v="4.4000000000000004"/>
    <n v="15"/>
    <s v="Https://Www.Salesforce.Com"/>
    <s v="Medium"/>
    <x v="1"/>
    <x v="1"/>
    <n v="2.5384615384615383"/>
  </r>
  <r>
    <x v="21"/>
    <x v="1"/>
    <x v="0"/>
    <x v="0"/>
    <n v="0"/>
    <n v="3600"/>
    <n v="4"/>
    <n v="4.4000000000000004"/>
    <n v="15"/>
    <s v="Https://Www.Hubspot.Com"/>
    <s v="Free"/>
    <x v="1"/>
    <x v="0"/>
    <n v="66"/>
  </r>
  <r>
    <x v="22"/>
    <x v="1"/>
    <x v="0"/>
    <x v="1"/>
    <n v="14"/>
    <n v="99"/>
    <n v="5"/>
    <n v="4.3"/>
    <n v="31"/>
    <s v="Https://Www.Pipedrive.Com"/>
    <s v="Low"/>
    <x v="1"/>
    <x v="1"/>
    <n v="8.8866666666666649"/>
  </r>
  <r>
    <x v="23"/>
    <x v="1"/>
    <x v="0"/>
    <x v="0"/>
    <n v="0"/>
    <n v="65"/>
    <n v="5"/>
    <n v="4.0999999999999996"/>
    <n v="15"/>
    <s v="Https://Www.Zoho.Com/Crm/"/>
    <s v="Free"/>
    <x v="1"/>
    <x v="0"/>
    <n v="61.499999999999993"/>
  </r>
  <r>
    <x v="24"/>
    <x v="1"/>
    <x v="0"/>
    <x v="0"/>
    <n v="0"/>
    <n v="71"/>
    <n v="4"/>
    <n v="4.5"/>
    <n v="15"/>
    <s v="Https://Www.Freshworks.Com/Crm/Sales/"/>
    <s v="Free"/>
    <x v="0"/>
    <x v="0"/>
    <n v="67.5"/>
  </r>
  <r>
    <x v="25"/>
    <x v="1"/>
    <x v="0"/>
    <x v="1"/>
    <n v="49"/>
    <n v="139"/>
    <n v="3"/>
    <n v="4.7"/>
    <n v="15"/>
    <s v="Https://Close.Com"/>
    <s v="Medium"/>
    <x v="0"/>
    <x v="1"/>
    <n v="1.41"/>
  </r>
  <r>
    <x v="26"/>
    <x v="1"/>
    <x v="0"/>
    <x v="1"/>
    <n v="12"/>
    <n v="134"/>
    <n v="4"/>
    <n v="4.5"/>
    <n v="22"/>
    <s v="Https://Www.Copper.Com"/>
    <s v="Low"/>
    <x v="0"/>
    <x v="1"/>
    <n v="7.615384615384615"/>
  </r>
  <r>
    <x v="27"/>
    <x v="1"/>
    <x v="0"/>
    <x v="0"/>
    <n v="0"/>
    <n v="99"/>
    <n v="4"/>
    <n v="4.2"/>
    <n v="15"/>
    <s v="Https://Www.Insightly.Com"/>
    <s v="Free"/>
    <x v="1"/>
    <x v="0"/>
    <n v="63"/>
  </r>
  <r>
    <x v="28"/>
    <x v="1"/>
    <x v="0"/>
    <x v="1"/>
    <n v="299"/>
    <n v="599"/>
    <n v="3"/>
    <n v="4.2"/>
    <n v="38"/>
    <s v="Https://Keap.Com"/>
    <s v="High"/>
    <x v="1"/>
    <x v="1"/>
    <n v="0.53200000000000003"/>
  </r>
  <r>
    <x v="29"/>
    <x v="1"/>
    <x v="0"/>
    <x v="0"/>
    <n v="0"/>
    <n v="129"/>
    <n v="5"/>
    <n v="4.5"/>
    <n v="15"/>
    <s v="Https://Www.Streak.Com"/>
    <s v="Free"/>
    <x v="0"/>
    <x v="0"/>
    <n v="67.5"/>
  </r>
  <r>
    <x v="30"/>
    <x v="1"/>
    <x v="0"/>
    <x v="1"/>
    <n v="19"/>
    <n v="89"/>
    <n v="5"/>
    <n v="4.3"/>
    <n v="15"/>
    <s v="Https://Www.Nutshell.Com"/>
    <s v="Low"/>
    <x v="1"/>
    <x v="1"/>
    <n v="3.2250000000000001"/>
  </r>
  <r>
    <x v="31"/>
    <x v="1"/>
    <x v="0"/>
    <x v="1"/>
    <n v="15"/>
    <n v="15"/>
    <n v="1"/>
    <n v="4.9000000000000004"/>
    <n v="15"/>
    <s v="Https://Www.Lessannoyingcrm.Com"/>
    <s v="Low"/>
    <x v="0"/>
    <x v="1"/>
    <n v="4.59375"/>
  </r>
  <r>
    <x v="32"/>
    <x v="1"/>
    <x v="0"/>
    <x v="1"/>
    <n v="12"/>
    <n v="28"/>
    <n v="4"/>
    <n v="4.5999999999999996"/>
    <n v="15"/>
    <s v="Https://Monday.Com/Crm"/>
    <s v="Low"/>
    <x v="0"/>
    <x v="1"/>
    <n v="5.3076923076923075"/>
  </r>
  <r>
    <x v="33"/>
    <x v="1"/>
    <x v="0"/>
    <x v="1"/>
    <n v="24"/>
    <n v="48"/>
    <n v="3"/>
    <n v="4.7"/>
    <n v="15"/>
    <s v="Https://Www.Folk.App"/>
    <s v="Medium"/>
    <x v="0"/>
    <x v="1"/>
    <n v="2.82"/>
  </r>
  <r>
    <x v="34"/>
    <x v="1"/>
    <x v="0"/>
    <x v="0"/>
    <n v="0"/>
    <n v="75"/>
    <n v="5"/>
    <n v="4.7"/>
    <n v="15"/>
    <s v="Https://Capsulecrm.Com"/>
    <s v="Free"/>
    <x v="0"/>
    <x v="0"/>
    <n v="70.5"/>
  </r>
  <r>
    <x v="35"/>
    <x v="1"/>
    <x v="0"/>
    <x v="0"/>
    <n v="0"/>
    <n v="69"/>
    <n v="4"/>
    <n v="4.8"/>
    <n v="15"/>
    <s v="Https://Attio.Com"/>
    <s v="Free"/>
    <x v="0"/>
    <x v="0"/>
    <n v="72"/>
  </r>
  <r>
    <x v="36"/>
    <x v="2"/>
    <x v="0"/>
    <x v="0"/>
    <n v="0"/>
    <n v="350"/>
    <n v="4"/>
    <n v="4.4000000000000004"/>
    <n v="36"/>
    <s v="Https://Mailchimp.Com"/>
    <s v="Free"/>
    <x v="1"/>
    <x v="0"/>
    <n v="158.4"/>
  </r>
  <r>
    <x v="37"/>
    <x v="2"/>
    <x v="0"/>
    <x v="0"/>
    <n v="0"/>
    <n v="66"/>
    <n v="3"/>
    <n v="4.4000000000000004"/>
    <n v="15"/>
    <s v="Https://Kit.Com"/>
    <s v="Free"/>
    <x v="1"/>
    <x v="0"/>
    <n v="66"/>
  </r>
  <r>
    <x v="38"/>
    <x v="2"/>
    <x v="0"/>
    <x v="1"/>
    <n v="15"/>
    <n v="145"/>
    <n v="4"/>
    <n v="4.5"/>
    <n v="48"/>
    <s v="Https://Www.Activecampaign.Com"/>
    <s v="Low"/>
    <x v="0"/>
    <x v="1"/>
    <n v="13.5"/>
  </r>
  <r>
    <x v="39"/>
    <x v="2"/>
    <x v="0"/>
    <x v="1"/>
    <n v="9"/>
    <n v="49"/>
    <n v="4"/>
    <n v="4.5"/>
    <n v="15"/>
    <s v="Https://Www.Brevo.Com"/>
    <s v="Low"/>
    <x v="0"/>
    <x v="1"/>
    <n v="6.75"/>
  </r>
  <r>
    <x v="40"/>
    <x v="2"/>
    <x v="0"/>
    <x v="0"/>
    <n v="0"/>
    <n v="35"/>
    <n v="3"/>
    <n v="4.5999999999999996"/>
    <n v="41"/>
    <s v="Https://Www.Klaviyo.Com"/>
    <s v="Free"/>
    <x v="0"/>
    <x v="0"/>
    <n v="188.6"/>
  </r>
  <r>
    <x v="41"/>
    <x v="2"/>
    <x v="0"/>
    <x v="1"/>
    <n v="39"/>
    <n v="39"/>
    <n v="1"/>
    <n v="4.4000000000000004"/>
    <n v="15"/>
    <s v="Https://Www.Drip.Com"/>
    <s v="Medium"/>
    <x v="1"/>
    <x v="1"/>
    <n v="1.65"/>
  </r>
  <r>
    <x v="42"/>
    <x v="2"/>
    <x v="0"/>
    <x v="0"/>
    <n v="0"/>
    <n v="899"/>
    <n v="4"/>
    <n v="4.2"/>
    <n v="15"/>
    <s v="Https://Www.Aweber.Com"/>
    <s v="Free"/>
    <x v="1"/>
    <x v="0"/>
    <n v="63"/>
  </r>
  <r>
    <x v="43"/>
    <x v="2"/>
    <x v="0"/>
    <x v="0"/>
    <n v="0"/>
    <n v="119"/>
    <n v="5"/>
    <n v="4.2"/>
    <n v="15"/>
    <s v="Https://Www.Getresponse.Com"/>
    <s v="Free"/>
    <x v="1"/>
    <x v="0"/>
    <n v="63"/>
  </r>
  <r>
    <x v="44"/>
    <x v="2"/>
    <x v="0"/>
    <x v="1"/>
    <n v="12"/>
    <n v="80"/>
    <n v="3"/>
    <n v="4"/>
    <n v="31"/>
    <s v="Https://Www.Constantcontact.Com"/>
    <s v="Low"/>
    <x v="1"/>
    <x v="1"/>
    <n v="9.5384615384615383"/>
  </r>
  <r>
    <x v="45"/>
    <x v="2"/>
    <x v="0"/>
    <x v="0"/>
    <n v="0"/>
    <n v="20"/>
    <n v="4"/>
    <n v="4.7"/>
    <n v="15"/>
    <s v="Https://Www.Mailerlite.Com"/>
    <s v="Free"/>
    <x v="0"/>
    <x v="0"/>
    <n v="70.5"/>
  </r>
  <r>
    <x v="46"/>
    <x v="2"/>
    <x v="0"/>
    <x v="0"/>
    <n v="0"/>
    <n v="96"/>
    <n v="4"/>
    <n v="4.7"/>
    <n v="19"/>
    <s v="Https://Www.Beehiiv.Com"/>
    <s v="Free"/>
    <x v="0"/>
    <x v="0"/>
    <n v="89.3"/>
  </r>
  <r>
    <x v="47"/>
    <x v="2"/>
    <x v="0"/>
    <x v="0"/>
    <n v="0"/>
    <n v="59"/>
    <n v="3"/>
    <n v="4.5999999999999996"/>
    <n v="15"/>
    <s v="Https://Www.Omnisend.Com"/>
    <s v="Free"/>
    <x v="0"/>
    <x v="0"/>
    <n v="69"/>
  </r>
  <r>
    <x v="48"/>
    <x v="2"/>
    <x v="0"/>
    <x v="1"/>
    <n v="9"/>
    <n v="9"/>
    <n v="2"/>
    <n v="4.5999999999999996"/>
    <n v="15"/>
    <s v="Https://Moosend.Com"/>
    <s v="Low"/>
    <x v="0"/>
    <x v="1"/>
    <n v="6.9"/>
  </r>
  <r>
    <x v="49"/>
    <x v="2"/>
    <x v="0"/>
    <x v="1"/>
    <n v="12"/>
    <n v="159"/>
    <n v="3"/>
    <n v="4.0999999999999996"/>
    <n v="15"/>
    <s v="Https://Www.Campaignmonitor.Com"/>
    <s v="Low"/>
    <x v="1"/>
    <x v="1"/>
    <n v="4.7307692307692299"/>
  </r>
  <r>
    <x v="50"/>
    <x v="2"/>
    <x v="0"/>
    <x v="0"/>
    <n v="0"/>
    <n v="35"/>
    <n v="4"/>
    <n v="4.4000000000000004"/>
    <n v="15"/>
    <s v="Https://Www.Sender.Net"/>
    <s v="Free"/>
    <x v="1"/>
    <x v="0"/>
    <n v="66"/>
  </r>
  <r>
    <x v="51"/>
    <x v="2"/>
    <x v="0"/>
    <x v="0"/>
    <n v="0"/>
    <n v="64"/>
    <n v="4"/>
    <n v="4"/>
    <n v="15"/>
    <s v="Https://Flodesk.Com"/>
    <s v="Free"/>
    <x v="1"/>
    <x v="0"/>
    <n v="60"/>
  </r>
  <r>
    <x v="52"/>
    <x v="2"/>
    <x v="0"/>
    <x v="0"/>
    <n v="0"/>
    <n v="79"/>
    <n v="4"/>
    <n v="4.5999999999999996"/>
    <n v="15"/>
    <s v="Https://Buttondown.Com"/>
    <s v="Free"/>
    <x v="0"/>
    <x v="0"/>
    <n v="69"/>
  </r>
  <r>
    <x v="53"/>
    <x v="2"/>
    <x v="0"/>
    <x v="0"/>
    <n v="0"/>
    <n v="599"/>
    <n v="4"/>
    <n v="4.8"/>
    <n v="15"/>
    <s v="Https://Loops.So"/>
    <s v="Free"/>
    <x v="0"/>
    <x v="0"/>
    <n v="72"/>
  </r>
  <r>
    <x v="54"/>
    <x v="3"/>
    <x v="0"/>
    <x v="0"/>
    <n v="0"/>
    <n v="45"/>
    <n v="5"/>
    <n v="4.4000000000000004"/>
    <n v="48"/>
    <s v="Https://Wordpress.Com"/>
    <s v="Free"/>
    <x v="1"/>
    <x v="0"/>
    <n v="211.20000000000002"/>
  </r>
  <r>
    <x v="55"/>
    <x v="3"/>
    <x v="0"/>
    <x v="0"/>
    <n v="0"/>
    <n v="159"/>
    <n v="5"/>
    <n v="4.2"/>
    <n v="38"/>
    <s v="Https://Www.Wix.Com"/>
    <s v="Free"/>
    <x v="1"/>
    <x v="0"/>
    <n v="159.6"/>
  </r>
  <r>
    <x v="56"/>
    <x v="3"/>
    <x v="0"/>
    <x v="1"/>
    <n v="16"/>
    <n v="65"/>
    <n v="4"/>
    <n v="4.4000000000000004"/>
    <n v="15"/>
    <s v="Https://Www.Squarespace.Com"/>
    <s v="Low"/>
    <x v="1"/>
    <x v="1"/>
    <n v="3.8823529411764706"/>
  </r>
  <r>
    <x v="57"/>
    <x v="3"/>
    <x v="0"/>
    <x v="0"/>
    <n v="0"/>
    <n v="39"/>
    <n v="5"/>
    <n v="4.4000000000000004"/>
    <n v="33"/>
    <s v="Https://Webflow.Com"/>
    <s v="Free"/>
    <x v="1"/>
    <x v="0"/>
    <n v="145.20000000000002"/>
  </r>
  <r>
    <x v="58"/>
    <x v="3"/>
    <x v="0"/>
    <x v="0"/>
    <n v="0"/>
    <n v="30"/>
    <n v="5"/>
    <n v="4.5"/>
    <n v="15"/>
    <s v="Https://Www.Framer.Com"/>
    <s v="Free"/>
    <x v="0"/>
    <x v="0"/>
    <n v="67.5"/>
  </r>
  <r>
    <x v="59"/>
    <x v="3"/>
    <x v="0"/>
    <x v="0"/>
    <n v="0"/>
    <n v="49"/>
    <n v="4"/>
    <n v="4.5"/>
    <n v="15"/>
    <s v="Https://Carrd.Co"/>
    <s v="Free"/>
    <x v="0"/>
    <x v="0"/>
    <n v="67.5"/>
  </r>
  <r>
    <x v="60"/>
    <x v="3"/>
    <x v="0"/>
    <x v="1"/>
    <n v="15"/>
    <n v="199"/>
    <n v="4"/>
    <n v="4.0999999999999996"/>
    <n v="15"/>
    <s v="Https://Ghost.Org"/>
    <s v="Low"/>
    <x v="1"/>
    <x v="1"/>
    <n v="3.8437499999999996"/>
  </r>
  <r>
    <x v="61"/>
    <x v="3"/>
    <x v="0"/>
    <x v="1"/>
    <n v="39"/>
    <n v="2300"/>
    <n v="4"/>
    <n v="4.4000000000000004"/>
    <n v="44"/>
    <s v="Https://Www.Shopify.Com"/>
    <s v="Medium"/>
    <x v="1"/>
    <x v="1"/>
    <n v="4.8400000000000007"/>
  </r>
  <r>
    <x v="62"/>
    <x v="3"/>
    <x v="0"/>
    <x v="0"/>
    <n v="0"/>
    <n v="29"/>
    <n v="4"/>
    <n v="4.2"/>
    <n v="15"/>
    <s v="Https://Www.Weebly.Com"/>
    <s v="Free"/>
    <x v="1"/>
    <x v="0"/>
    <n v="63"/>
  </r>
  <r>
    <x v="63"/>
    <x v="3"/>
    <x v="0"/>
    <x v="1"/>
    <n v="25"/>
    <n v="199"/>
    <n v="4"/>
    <n v="4.5999999999999996"/>
    <n v="15"/>
    <s v="Https://Www.Duda.Co"/>
    <s v="Medium"/>
    <x v="0"/>
    <x v="1"/>
    <n v="2.6538461538461537"/>
  </r>
  <r>
    <x v="64"/>
    <x v="3"/>
    <x v="0"/>
    <x v="0"/>
    <n v="0"/>
    <n v="22.9"/>
    <n v="5"/>
    <n v="3.9"/>
    <n v="15"/>
    <s v="Https://Www.Webnode.Com"/>
    <s v="Free"/>
    <x v="2"/>
    <x v="0"/>
    <n v="58.5"/>
  </r>
  <r>
    <x v="65"/>
    <x v="3"/>
    <x v="0"/>
    <x v="0"/>
    <n v="0"/>
    <n v="49"/>
    <n v="4"/>
    <n v="4.0999999999999996"/>
    <n v="15"/>
    <s v="Https://Www.Strikingly.Com"/>
    <s v="Free"/>
    <x v="1"/>
    <x v="0"/>
    <n v="61.499999999999993"/>
  </r>
  <r>
    <x v="66"/>
    <x v="3"/>
    <x v="0"/>
    <x v="1"/>
    <n v="10"/>
    <n v="60"/>
    <n v="3"/>
    <n v="4.5999999999999996"/>
    <n v="15"/>
    <s v="Https://10Web.Io"/>
    <s v="Low"/>
    <x v="0"/>
    <x v="1"/>
    <n v="6.2727272727272725"/>
  </r>
  <r>
    <x v="67"/>
    <x v="3"/>
    <x v="0"/>
    <x v="0"/>
    <n v="0"/>
    <n v="50"/>
    <n v="4"/>
    <n v="4.5"/>
    <n v="15"/>
    <s v="Https://Super.So"/>
    <s v="Free"/>
    <x v="0"/>
    <x v="0"/>
    <n v="67.5"/>
  </r>
  <r>
    <x v="68"/>
    <x v="3"/>
    <x v="0"/>
    <x v="0"/>
    <n v="0"/>
    <n v="49"/>
    <n v="4"/>
    <n v="4.4000000000000004"/>
    <n v="15"/>
    <s v="Https://Typedream.Com"/>
    <s v="Free"/>
    <x v="1"/>
    <x v="0"/>
    <n v="66"/>
  </r>
  <r>
    <x v="69"/>
    <x v="3"/>
    <x v="0"/>
    <x v="0"/>
    <n v="0"/>
    <n v="49"/>
    <n v="3"/>
    <n v="4.7"/>
    <n v="15"/>
    <s v="Https://Unicornplatform.Com"/>
    <s v="Free"/>
    <x v="0"/>
    <x v="0"/>
    <n v="70.5"/>
  </r>
  <r>
    <x v="70"/>
    <x v="4"/>
    <x v="0"/>
    <x v="1"/>
    <n v="14"/>
    <n v="54"/>
    <n v="4"/>
    <n v="4.5"/>
    <n v="15"/>
    <s v="Https://Www.Cloudways.Com"/>
    <s v="Low"/>
    <x v="0"/>
    <x v="1"/>
    <n v="4.5"/>
  </r>
  <r>
    <x v="71"/>
    <x v="4"/>
    <x v="0"/>
    <x v="0"/>
    <n v="0"/>
    <n v="8"/>
    <n v="4"/>
    <n v="4.5"/>
    <n v="31"/>
    <s v="Https://Www.Digitalocean.Com"/>
    <s v="Free"/>
    <x v="0"/>
    <x v="0"/>
    <n v="139.5"/>
  </r>
  <r>
    <x v="72"/>
    <x v="4"/>
    <x v="0"/>
    <x v="1"/>
    <n v="2.99"/>
    <n v="9.99"/>
    <n v="3"/>
    <n v="4.5"/>
    <n v="15"/>
    <s v="Https://Www.Hostinger.Com"/>
    <s v="Low"/>
    <x v="0"/>
    <x v="1"/>
    <n v="16.917293233082706"/>
  </r>
  <r>
    <x v="73"/>
    <x v="4"/>
    <x v="0"/>
    <x v="1"/>
    <n v="2.99"/>
    <n v="7.99"/>
    <n v="3"/>
    <n v="4.4000000000000004"/>
    <n v="15"/>
    <s v="Https://Www.Siteground.Com"/>
    <s v="Low"/>
    <x v="1"/>
    <x v="1"/>
    <n v="16.541353383458645"/>
  </r>
  <r>
    <x v="74"/>
    <x v="4"/>
    <x v="0"/>
    <x v="1"/>
    <n v="35"/>
    <n v="675"/>
    <n v="4"/>
    <n v="4.8"/>
    <n v="15"/>
    <s v="Https://Kinsta.Com"/>
    <s v="Medium"/>
    <x v="0"/>
    <x v="1"/>
    <n v="2"/>
  </r>
  <r>
    <x v="75"/>
    <x v="4"/>
    <x v="0"/>
    <x v="0"/>
    <n v="0"/>
    <n v="20"/>
    <n v="3"/>
    <n v="4.5"/>
    <n v="22"/>
    <s v="Https://Vercel.Com"/>
    <s v="Free"/>
    <x v="0"/>
    <x v="0"/>
    <n v="99"/>
  </r>
  <r>
    <x v="76"/>
    <x v="4"/>
    <x v="0"/>
    <x v="0"/>
    <n v="0"/>
    <n v="19"/>
    <n v="3"/>
    <n v="4.5"/>
    <n v="15"/>
    <s v="Https://Www.Netlify.Com"/>
    <s v="Free"/>
    <x v="0"/>
    <x v="0"/>
    <n v="67.5"/>
  </r>
  <r>
    <x v="77"/>
    <x v="4"/>
    <x v="0"/>
    <x v="0"/>
    <n v="0"/>
    <n v="29"/>
    <n v="3"/>
    <n v="4.3"/>
    <n v="15"/>
    <s v="Https://Fly.Io"/>
    <s v="Free"/>
    <x v="1"/>
    <x v="0"/>
    <n v="64.5"/>
  </r>
  <r>
    <x v="78"/>
    <x v="4"/>
    <x v="0"/>
    <x v="0"/>
    <n v="0"/>
    <n v="20"/>
    <n v="4"/>
    <n v="4.5999999999999996"/>
    <n v="15"/>
    <s v="Https://Railway.App"/>
    <s v="Free"/>
    <x v="0"/>
    <x v="0"/>
    <n v="69"/>
  </r>
  <r>
    <x v="79"/>
    <x v="4"/>
    <x v="0"/>
    <x v="0"/>
    <n v="0"/>
    <n v="19"/>
    <n v="4"/>
    <n v="4.4000000000000004"/>
    <n v="17"/>
    <s v="Https://Render.Com"/>
    <s v="Free"/>
    <x v="1"/>
    <x v="0"/>
    <n v="74.800000000000011"/>
  </r>
  <r>
    <x v="80"/>
    <x v="4"/>
    <x v="0"/>
    <x v="1"/>
    <n v="4.3499999999999996"/>
    <n v="44"/>
    <n v="4"/>
    <n v="4.5999999999999996"/>
    <n v="15"/>
    <s v="Https://Www.Hetzner.Com"/>
    <s v="Low"/>
    <x v="0"/>
    <x v="1"/>
    <n v="12.897196261682243"/>
  </r>
  <r>
    <x v="81"/>
    <x v="4"/>
    <x v="0"/>
    <x v="0"/>
    <n v="0"/>
    <n v="120"/>
    <n v="4"/>
    <n v="4.4000000000000004"/>
    <n v="15"/>
    <s v="Https://Www.Vultr.Com"/>
    <s v="Free"/>
    <x v="1"/>
    <x v="0"/>
    <n v="66"/>
  </r>
  <r>
    <x v="82"/>
    <x v="4"/>
    <x v="0"/>
    <x v="0"/>
    <n v="0"/>
    <n v="24"/>
    <n v="4"/>
    <n v="4.3"/>
    <n v="15"/>
    <s v="Https://Www.Linode.Com"/>
    <s v="Free"/>
    <x v="1"/>
    <x v="0"/>
    <n v="64.5"/>
  </r>
  <r>
    <x v="83"/>
    <x v="4"/>
    <x v="0"/>
    <x v="1"/>
    <n v="2.99"/>
    <n v="14.99"/>
    <n v="4"/>
    <n v="4.3"/>
    <n v="15"/>
    <s v="Https://Www.A2Hosting.Com"/>
    <s v="Low"/>
    <x v="1"/>
    <x v="1"/>
    <n v="16.165413533834585"/>
  </r>
  <r>
    <x v="84"/>
    <x v="4"/>
    <x v="0"/>
    <x v="1"/>
    <n v="2.95"/>
    <n v="9.9499999999999993"/>
    <n v="4"/>
    <n v="3.7"/>
    <n v="15"/>
    <s v="Https://Www.Bluehost.Com"/>
    <s v="Low"/>
    <x v="2"/>
    <x v="1"/>
    <n v="14.050632911392404"/>
  </r>
  <r>
    <x v="85"/>
    <x v="4"/>
    <x v="0"/>
    <x v="1"/>
    <n v="1.98"/>
    <n v="4.9800000000000004"/>
    <n v="3"/>
    <n v="4.4000000000000004"/>
    <n v="15"/>
    <s v="Https://Www.Namecheap.Com"/>
    <s v="Low"/>
    <x v="1"/>
    <x v="1"/>
    <n v="22.14765100671141"/>
  </r>
  <r>
    <x v="86"/>
    <x v="4"/>
    <x v="0"/>
    <x v="1"/>
    <n v="20"/>
    <n v="193"/>
    <n v="4"/>
    <n v="4.4000000000000004"/>
    <n v="15"/>
    <s v="Https://Wpengine.Com"/>
    <s v="Low"/>
    <x v="1"/>
    <x v="1"/>
    <n v="3.1428571428571428"/>
  </r>
  <r>
    <x v="87"/>
    <x v="5"/>
    <x v="0"/>
    <x v="0"/>
    <n v="0"/>
    <n v="90"/>
    <n v="4"/>
    <n v="4.7"/>
    <n v="38"/>
    <s v="Https://Www.Figma.Com"/>
    <s v="Free"/>
    <x v="0"/>
    <x v="0"/>
    <n v="178.6"/>
  </r>
  <r>
    <x v="88"/>
    <x v="5"/>
    <x v="0"/>
    <x v="0"/>
    <n v="0"/>
    <n v="15"/>
    <n v="4"/>
    <n v="4.7"/>
    <n v="15"/>
    <s v="Https://Www.Canva.Com"/>
    <s v="Free"/>
    <x v="0"/>
    <x v="0"/>
    <n v="70.5"/>
  </r>
  <r>
    <x v="89"/>
    <x v="5"/>
    <x v="0"/>
    <x v="1"/>
    <n v="59.99"/>
    <n v="59.99"/>
    <n v="1"/>
    <n v="4.3"/>
    <n v="31"/>
    <s v="Https://Www.Adobe.Com/Products/Xd.Html"/>
    <s v="High"/>
    <x v="1"/>
    <x v="1"/>
    <n v="2.1856041974094111"/>
  </r>
  <r>
    <x v="90"/>
    <x v="5"/>
    <x v="0"/>
    <x v="1"/>
    <n v="12"/>
    <n v="44"/>
    <n v="3"/>
    <n v="4.5"/>
    <n v="15"/>
    <s v="Https://Www.Sketch.Com"/>
    <s v="Low"/>
    <x v="0"/>
    <x v="1"/>
    <n v="5.1923076923076925"/>
  </r>
  <r>
    <x v="91"/>
    <x v="5"/>
    <x v="0"/>
    <x v="1"/>
    <n v="69.989999999999995"/>
    <n v="169.99"/>
    <n v="3"/>
    <n v="4.5"/>
    <n v="27"/>
    <s v="Https://Affinity.Serif.Com/En-Us/Designer/"/>
    <s v="High"/>
    <x v="0"/>
    <x v="1"/>
    <n v="1.7115086631919989"/>
  </r>
  <r>
    <x v="92"/>
    <x v="5"/>
    <x v="0"/>
    <x v="1"/>
    <n v="22.99"/>
    <n v="59.99"/>
    <n v="2"/>
    <n v="4.5999999999999996"/>
    <n v="15"/>
    <s v="Https://Www.Adobe.Com/Products/Illustrator.Html"/>
    <s v="Medium"/>
    <x v="0"/>
    <x v="1"/>
    <n v="2.8761984160066696"/>
  </r>
  <r>
    <x v="93"/>
    <x v="5"/>
    <x v="0"/>
    <x v="1"/>
    <n v="9.99"/>
    <n v="59.99"/>
    <n v="3"/>
    <n v="4.5999999999999996"/>
    <n v="15"/>
    <s v="Https://Www.Adobe.Com/Products/Photoshop.Html"/>
    <s v="Low"/>
    <x v="0"/>
    <x v="1"/>
    <n v="6.2784349408553233"/>
  </r>
  <r>
    <x v="94"/>
    <x v="5"/>
    <x v="0"/>
    <x v="0"/>
    <n v="0"/>
    <n v="14.99"/>
    <n v="2"/>
    <n v="4.5"/>
    <n v="15"/>
    <s v="Https://Icons8.Com/Lunacy"/>
    <s v="Free"/>
    <x v="0"/>
    <x v="0"/>
    <n v="67.5"/>
  </r>
  <r>
    <x v="95"/>
    <x v="5"/>
    <x v="0"/>
    <x v="1"/>
    <n v="12.99"/>
    <n v="19.989999999999998"/>
    <n v="2"/>
    <n v="4.5999999999999996"/>
    <n v="18"/>
    <s v="Https://Procreate.Com"/>
    <s v="Low"/>
    <x v="0"/>
    <x v="1"/>
    <n v="5.9185132237312361"/>
  </r>
  <r>
    <x v="96"/>
    <x v="5"/>
    <x v="0"/>
    <x v="0"/>
    <n v="0"/>
    <n v="12.99"/>
    <n v="4"/>
    <n v="4.3"/>
    <n v="15"/>
    <s v="Https://Pixlr.Com"/>
    <s v="Free"/>
    <x v="1"/>
    <x v="0"/>
    <n v="64.5"/>
  </r>
  <r>
    <x v="58"/>
    <x v="5"/>
    <x v="0"/>
    <x v="0"/>
    <n v="0"/>
    <n v="30"/>
    <n v="4"/>
    <n v="4.5"/>
    <n v="15"/>
    <s v="Https://Www.Framer.Com"/>
    <s v="Free"/>
    <x v="0"/>
    <x v="0"/>
    <n v="67.5"/>
  </r>
  <r>
    <x v="97"/>
    <x v="5"/>
    <x v="0"/>
    <x v="0"/>
    <n v="0"/>
    <n v="20"/>
    <n v="3"/>
    <n v="4.5"/>
    <n v="15"/>
    <s v="Https://Spline.Design"/>
    <s v="Free"/>
    <x v="0"/>
    <x v="0"/>
    <n v="67.5"/>
  </r>
  <r>
    <x v="15"/>
    <x v="5"/>
    <x v="0"/>
    <x v="0"/>
    <n v="0"/>
    <n v="20"/>
    <n v="4"/>
    <n v="4.8"/>
    <n v="15"/>
    <s v="Https://Miro.Com"/>
    <s v="Free"/>
    <x v="0"/>
    <x v="0"/>
    <n v="72"/>
  </r>
  <r>
    <x v="98"/>
    <x v="5"/>
    <x v="0"/>
    <x v="0"/>
    <n v="0"/>
    <n v="20"/>
    <n v="3"/>
    <n v="4.5999999999999996"/>
    <n v="15"/>
    <s v="Https://Whimsical.Com"/>
    <s v="Free"/>
    <x v="0"/>
    <x v="0"/>
    <n v="69"/>
  </r>
  <r>
    <x v="99"/>
    <x v="6"/>
    <x v="0"/>
    <x v="1"/>
    <n v="38"/>
    <n v="275"/>
    <n v="4"/>
    <n v="4"/>
    <n v="43"/>
    <s v="Https://Quickbooks.Intuit.Com"/>
    <s v="Medium"/>
    <x v="1"/>
    <x v="1"/>
    <n v="4.4102564102564106"/>
  </r>
  <r>
    <x v="100"/>
    <x v="6"/>
    <x v="0"/>
    <x v="1"/>
    <n v="25"/>
    <n v="90"/>
    <n v="3"/>
    <n v="4.3"/>
    <n v="15"/>
    <s v="Https://Www.Xero.Com"/>
    <s v="Medium"/>
    <x v="1"/>
    <x v="1"/>
    <n v="2.4807692307692308"/>
  </r>
  <r>
    <x v="101"/>
    <x v="6"/>
    <x v="0"/>
    <x v="1"/>
    <n v="23"/>
    <n v="76"/>
    <n v="4"/>
    <n v="4.5"/>
    <n v="27"/>
    <s v="Https://Www.Freshbooks.Com"/>
    <s v="Medium"/>
    <x v="0"/>
    <x v="1"/>
    <n v="5.0625"/>
  </r>
  <r>
    <x v="102"/>
    <x v="6"/>
    <x v="0"/>
    <x v="0"/>
    <n v="0"/>
    <n v="149"/>
    <n v="4"/>
    <n v="4.4000000000000004"/>
    <n v="15"/>
    <s v="Https://Www.Waveapps.Com"/>
    <s v="Free"/>
    <x v="1"/>
    <x v="0"/>
    <n v="66"/>
  </r>
  <r>
    <x v="103"/>
    <x v="6"/>
    <x v="0"/>
    <x v="0"/>
    <n v="0"/>
    <n v="150"/>
    <n v="5"/>
    <n v="4.5"/>
    <n v="35"/>
    <s v="Https://Www.Zoho.Com/Books/"/>
    <s v="Free"/>
    <x v="0"/>
    <x v="0"/>
    <n v="157.5"/>
  </r>
  <r>
    <x v="104"/>
    <x v="6"/>
    <x v="0"/>
    <x v="1"/>
    <n v="10"/>
    <n v="25"/>
    <n v="3"/>
    <n v="4.0999999999999996"/>
    <n v="15"/>
    <s v="Https://Www.Sage.Com/En-Us/Accounting-Software/"/>
    <s v="Low"/>
    <x v="1"/>
    <x v="1"/>
    <n v="5.5909090909090899"/>
  </r>
  <r>
    <x v="105"/>
    <x v="6"/>
    <x v="0"/>
    <x v="1"/>
    <n v="30"/>
    <n v="30"/>
    <n v="1"/>
    <n v="4.0999999999999996"/>
    <n v="15"/>
    <s v="Https://Www.Kashoo.Com"/>
    <s v="Medium"/>
    <x v="1"/>
    <x v="1"/>
    <n v="1.9838709677419353"/>
  </r>
  <r>
    <x v="106"/>
    <x v="6"/>
    <x v="0"/>
    <x v="1"/>
    <n v="189"/>
    <n v="339"/>
    <n v="2"/>
    <n v="4.5"/>
    <n v="15"/>
    <s v="Https://Bench.Co"/>
    <s v="High"/>
    <x v="0"/>
    <x v="1"/>
    <n v="0.35526315789473684"/>
  </r>
  <r>
    <x v="107"/>
    <x v="6"/>
    <x v="0"/>
    <x v="1"/>
    <n v="19"/>
    <n v="19"/>
    <n v="1"/>
    <n v="4.2"/>
    <n v="15"/>
    <s v="Https://Www.Freeagent.Com"/>
    <s v="Low"/>
    <x v="1"/>
    <x v="1"/>
    <n v="3.15"/>
  </r>
  <r>
    <x v="108"/>
    <x v="6"/>
    <x v="0"/>
    <x v="1"/>
    <n v="9"/>
    <n v="29"/>
    <n v="3"/>
    <n v="4.3"/>
    <n v="15"/>
    <s v="Https://Www.Hellobonsai.Com"/>
    <s v="Low"/>
    <x v="1"/>
    <x v="1"/>
    <n v="6.45"/>
  </r>
  <r>
    <x v="109"/>
    <x v="6"/>
    <x v="0"/>
    <x v="0"/>
    <n v="0"/>
    <n v="10.8"/>
    <n v="2"/>
    <n v="4.3"/>
    <n v="15"/>
    <s v="Https://Www.Getharvest.Com"/>
    <s v="Free"/>
    <x v="1"/>
    <x v="0"/>
    <n v="64.5"/>
  </r>
  <r>
    <x v="110"/>
    <x v="6"/>
    <x v="0"/>
    <x v="0"/>
    <n v="0"/>
    <n v="15"/>
    <n v="2"/>
    <n v="4.2"/>
    <n v="15"/>
    <s v="Https://Akaunting.Com"/>
    <s v="Free"/>
    <x v="1"/>
    <x v="0"/>
    <n v="63"/>
  </r>
  <r>
    <x v="111"/>
    <x v="6"/>
    <x v="0"/>
    <x v="0"/>
    <n v="0"/>
    <n v="100"/>
    <n v="3"/>
    <n v="4.3"/>
    <n v="15"/>
    <s v="Https://Www.Manager.Io"/>
    <s v="Free"/>
    <x v="1"/>
    <x v="0"/>
    <n v="64.5"/>
  </r>
  <r>
    <x v="112"/>
    <x v="6"/>
    <x v="0"/>
    <x v="0"/>
    <n v="0"/>
    <n v="16.670000000000002"/>
    <n v="3"/>
    <n v="4.0999999999999996"/>
    <n v="15"/>
    <s v="Https://Www.Hurdlr.Com"/>
    <s v="Free"/>
    <x v="1"/>
    <x v="0"/>
    <n v="61.499999999999993"/>
  </r>
  <r>
    <x v="113"/>
    <x v="6"/>
    <x v="0"/>
    <x v="1"/>
    <n v="20"/>
    <n v="37"/>
    <n v="4"/>
    <n v="4.5999999999999996"/>
    <n v="15"/>
    <s v="Https://Www.Patriotsoftware.Com"/>
    <s v="Low"/>
    <x v="0"/>
    <x v="1"/>
    <n v="3.2857142857142856"/>
  </r>
  <r>
    <x v="114"/>
    <x v="7"/>
    <x v="0"/>
    <x v="0"/>
    <n v="0"/>
    <n v="22.49"/>
    <n v="4"/>
    <n v="4.5"/>
    <n v="34"/>
    <s v="Https://Zoom.Com"/>
    <s v="Free"/>
    <x v="0"/>
    <x v="0"/>
    <n v="153"/>
  </r>
  <r>
    <x v="115"/>
    <x v="7"/>
    <x v="0"/>
    <x v="0"/>
    <n v="0"/>
    <n v="21.6"/>
    <n v="4"/>
    <n v="4.5999999999999996"/>
    <n v="15"/>
    <s v="Https://Meet.Google.Com"/>
    <s v="Free"/>
    <x v="0"/>
    <x v="0"/>
    <n v="69"/>
  </r>
  <r>
    <x v="116"/>
    <x v="7"/>
    <x v="0"/>
    <x v="0"/>
    <n v="0"/>
    <n v="12.5"/>
    <n v="4"/>
    <n v="4.3"/>
    <n v="15"/>
    <s v="Https://Www.Microsoft.Com/Microsoft-Teams"/>
    <s v="Free"/>
    <x v="1"/>
    <x v="0"/>
    <n v="64.5"/>
  </r>
  <r>
    <x v="117"/>
    <x v="7"/>
    <x v="0"/>
    <x v="0"/>
    <n v="0"/>
    <n v="11.99"/>
    <n v="3"/>
    <n v="4.5999999999999996"/>
    <n v="16"/>
    <s v="Https://Whereby.Com"/>
    <s v="Free"/>
    <x v="0"/>
    <x v="0"/>
    <n v="73.599999999999994"/>
  </r>
  <r>
    <x v="118"/>
    <x v="7"/>
    <x v="0"/>
    <x v="0"/>
    <n v="0"/>
    <n v="24"/>
    <n v="4"/>
    <n v="4.7"/>
    <n v="15"/>
    <s v="Https://Www.Loom.Com"/>
    <s v="Free"/>
    <x v="0"/>
    <x v="0"/>
    <n v="70.5"/>
  </r>
  <r>
    <x v="119"/>
    <x v="7"/>
    <x v="0"/>
    <x v="0"/>
    <n v="0"/>
    <n v="25"/>
    <n v="4"/>
    <n v="4.3"/>
    <n v="36"/>
    <s v="Https://Www.Webex.Com"/>
    <s v="Free"/>
    <x v="1"/>
    <x v="0"/>
    <n v="154.79999999999998"/>
  </r>
  <r>
    <x v="120"/>
    <x v="7"/>
    <x v="0"/>
    <x v="1"/>
    <n v="12"/>
    <n v="16"/>
    <n v="2"/>
    <n v="4.2"/>
    <n v="15"/>
    <s v="Https://Www.Goto.Com/Meeting"/>
    <s v="Low"/>
    <x v="1"/>
    <x v="1"/>
    <n v="4.8461538461538458"/>
  </r>
  <r>
    <x v="121"/>
    <x v="7"/>
    <x v="0"/>
    <x v="0"/>
    <n v="0"/>
    <n v="99"/>
    <n v="4"/>
    <n v="4.3"/>
    <n v="15"/>
    <s v="Https://Livestorm.Co"/>
    <s v="Free"/>
    <x v="1"/>
    <x v="0"/>
    <n v="64.5"/>
  </r>
  <r>
    <x v="122"/>
    <x v="7"/>
    <x v="0"/>
    <x v="0"/>
    <n v="0"/>
    <n v="29"/>
    <n v="4"/>
    <n v="4.8"/>
    <n v="15"/>
    <s v="Https://Riverside.Com"/>
    <s v="Free"/>
    <x v="0"/>
    <x v="0"/>
    <n v="72"/>
  </r>
  <r>
    <x v="123"/>
    <x v="7"/>
    <x v="0"/>
    <x v="0"/>
    <n v="0"/>
    <n v="16.489999999999998"/>
    <n v="3"/>
    <n v="4.5"/>
    <n v="15"/>
    <s v="Https://Www.Vowel.Com"/>
    <s v="Free"/>
    <x v="0"/>
    <x v="0"/>
    <n v="67.5"/>
  </r>
  <r>
    <x v="124"/>
    <x v="7"/>
    <x v="0"/>
    <x v="0"/>
    <n v="0"/>
    <n v="12"/>
    <n v="3"/>
    <n v="4.7"/>
    <n v="15"/>
    <s v="Https://Cal.Com"/>
    <s v="Free"/>
    <x v="0"/>
    <x v="0"/>
    <n v="70.5"/>
  </r>
  <r>
    <x v="125"/>
    <x v="7"/>
    <x v="0"/>
    <x v="0"/>
    <n v="0"/>
    <n v="25"/>
    <n v="3"/>
    <n v="4.7"/>
    <n v="15"/>
    <s v="Https://Butter.Us"/>
    <s v="Free"/>
    <x v="0"/>
    <x v="0"/>
    <n v="70.5"/>
  </r>
  <r>
    <x v="126"/>
    <x v="7"/>
    <x v="0"/>
    <x v="1"/>
    <n v="27"/>
    <n v="35"/>
    <n v="3"/>
    <n v="4.4000000000000004"/>
    <n v="15"/>
    <s v="Https://Www.Dialpad.Com"/>
    <s v="Medium"/>
    <x v="1"/>
    <x v="1"/>
    <n v="2.3571428571428572"/>
  </r>
  <r>
    <x v="127"/>
    <x v="7"/>
    <x v="0"/>
    <x v="0"/>
    <n v="0"/>
    <n v="15"/>
    <n v="4"/>
    <n v="4.5"/>
    <n v="15"/>
    <s v="Https://Slack.Com"/>
    <s v="Free"/>
    <x v="0"/>
    <x v="0"/>
    <n v="67.5"/>
  </r>
  <r>
    <x v="128"/>
    <x v="7"/>
    <x v="0"/>
    <x v="1"/>
    <n v="30"/>
    <n v="45"/>
    <n v="3"/>
    <n v="4.0999999999999996"/>
    <n v="15"/>
    <s v="Https://Www.Ringcentral.Com"/>
    <s v="Medium"/>
    <x v="1"/>
    <x v="1"/>
    <n v="1.9838709677419353"/>
  </r>
  <r>
    <x v="129"/>
    <x v="1"/>
    <x v="0"/>
    <x v="1"/>
    <n v="19"/>
    <n v="135"/>
    <n v="4"/>
    <n v="3.8"/>
    <n v="15"/>
    <s v="Https://Www.Sugarcrm.Com"/>
    <s v="Low"/>
    <x v="2"/>
    <x v="1"/>
    <n v="2.85"/>
  </r>
  <r>
    <x v="130"/>
    <x v="1"/>
    <x v="0"/>
    <x v="1"/>
    <n v="25"/>
    <n v="149"/>
    <n v="3"/>
    <n v="4.2"/>
    <n v="15"/>
    <s v="Https://Www.Zendesk.Com/Sell/"/>
    <s v="Medium"/>
    <x v="1"/>
    <x v="1"/>
    <n v="2.4230769230769229"/>
  </r>
  <r>
    <x v="131"/>
    <x v="4"/>
    <x v="0"/>
    <x v="1"/>
    <n v="3.75"/>
    <n v="6.25"/>
    <n v="3"/>
    <n v="3.5"/>
    <n v="15"/>
    <s v="Https://Www.Hostgator.Com"/>
    <s v="Low"/>
    <x v="2"/>
    <x v="1"/>
    <n v="11.052631578947368"/>
  </r>
  <r>
    <x v="132"/>
    <x v="3"/>
    <x v="0"/>
    <x v="0"/>
    <n v="0"/>
    <n v="1500"/>
    <n v="4"/>
    <n v="4.5"/>
    <n v="15"/>
    <s v="Https://Www.Hubspot.Com/Products/Cms"/>
    <s v="Free"/>
    <x v="0"/>
    <x v="0"/>
    <n v="67.5"/>
  </r>
  <r>
    <x v="133"/>
    <x v="3"/>
    <x v="0"/>
    <x v="0"/>
    <n v="0"/>
    <n v="45"/>
    <n v="3"/>
    <n v="4.5999999999999996"/>
    <n v="15"/>
    <s v="Https://Tilda.Cc"/>
    <s v="Free"/>
    <x v="0"/>
    <x v="0"/>
    <n v="69"/>
  </r>
  <r>
    <x v="134"/>
    <x v="3"/>
    <x v="0"/>
    <x v="1"/>
    <n v="81"/>
    <n v="248"/>
    <n v="2"/>
    <n v="4"/>
    <n v="15"/>
    <s v="Https://Www.Clickfunnels.Com"/>
    <s v="High"/>
    <x v="1"/>
    <x v="1"/>
    <n v="0.73170731707317072"/>
  </r>
  <r>
    <x v="135"/>
    <x v="2"/>
    <x v="0"/>
    <x v="0"/>
    <n v="0"/>
    <n v="27"/>
    <n v="4"/>
    <n v="4"/>
    <n v="15"/>
    <s v="Https://Www.Mailjet.Com"/>
    <s v="Free"/>
    <x v="1"/>
    <x v="0"/>
    <n v="60"/>
  </r>
  <r>
    <x v="136"/>
    <x v="2"/>
    <x v="0"/>
    <x v="0"/>
    <n v="0"/>
    <n v="89.95"/>
    <n v="4"/>
    <n v="4"/>
    <n v="15"/>
    <s v="Https://Sendgrid.Com"/>
    <s v="Free"/>
    <x v="1"/>
    <x v="0"/>
    <n v="60"/>
  </r>
  <r>
    <x v="137"/>
    <x v="7"/>
    <x v="0"/>
    <x v="1"/>
    <n v="45"/>
    <n v="196"/>
    <n v="3"/>
    <n v="4.4000000000000004"/>
    <n v="15"/>
    <s v="Https://Demio.Com"/>
    <s v="Medium"/>
    <x v="1"/>
    <x v="1"/>
    <n v="1.4347826086956521"/>
  </r>
  <r>
    <x v="138"/>
    <x v="5"/>
    <x v="0"/>
    <x v="1"/>
    <n v="399"/>
    <n v="779"/>
    <n v="3"/>
    <n v="4.3"/>
    <n v="15"/>
    <s v="Https://Www.Coreldraw.Com"/>
    <s v="High"/>
    <x v="1"/>
    <x v="1"/>
    <n v="0.16125"/>
  </r>
  <r>
    <x v="139"/>
    <x v="8"/>
    <x v="1"/>
    <x v="0"/>
    <n v="0"/>
    <n v="30"/>
    <n v="3"/>
    <n v="4.7"/>
    <n v="15"/>
    <s v="Https://Chatgpt.Com"/>
    <s v="Free"/>
    <x v="0"/>
    <x v="0"/>
    <n v="70.5"/>
  </r>
  <r>
    <x v="140"/>
    <x v="8"/>
    <x v="1"/>
    <x v="0"/>
    <n v="0"/>
    <n v="20"/>
    <n v="2"/>
    <n v="4.5999999999999996"/>
    <n v="8"/>
    <s v="Https://Claude.Ai"/>
    <s v="Free"/>
    <x v="0"/>
    <x v="0"/>
    <n v="36.799999999999997"/>
  </r>
  <r>
    <x v="141"/>
    <x v="8"/>
    <x v="1"/>
    <x v="0"/>
    <n v="0"/>
    <n v="20"/>
    <n v="2"/>
    <n v="4.3"/>
    <n v="8"/>
    <s v="Https://Gemini.Google.Com"/>
    <s v="Free"/>
    <x v="1"/>
    <x v="0"/>
    <n v="34.4"/>
  </r>
  <r>
    <x v="142"/>
    <x v="9"/>
    <x v="1"/>
    <x v="1"/>
    <n v="39"/>
    <n v="59"/>
    <n v="3"/>
    <n v="4.7"/>
    <n v="28"/>
    <s v="Https://Www.Jasper.Ai"/>
    <s v="Medium"/>
    <x v="0"/>
    <x v="1"/>
    <n v="3.29"/>
  </r>
  <r>
    <x v="143"/>
    <x v="9"/>
    <x v="1"/>
    <x v="0"/>
    <n v="0"/>
    <n v="12"/>
    <n v="3"/>
    <n v="4.7"/>
    <n v="8"/>
    <s v="Https://Www.Grammarly.Com"/>
    <s v="Free"/>
    <x v="0"/>
    <x v="0"/>
    <n v="37.6"/>
  </r>
  <r>
    <x v="144"/>
    <x v="10"/>
    <x v="0"/>
    <x v="1"/>
    <n v="2.99"/>
    <n v="7.99"/>
    <n v="3"/>
    <n v="4.8"/>
    <n v="28"/>
    <s v="Https://1Password.Com"/>
    <s v="Low"/>
    <x v="0"/>
    <x v="1"/>
    <n v="33.684210526315788"/>
  </r>
  <r>
    <x v="145"/>
    <x v="10"/>
    <x v="0"/>
    <x v="0"/>
    <n v="0"/>
    <n v="4"/>
    <n v="3"/>
    <n v="4.7"/>
    <n v="8"/>
    <s v="Https://Bitwarden.Com"/>
    <s v="Free"/>
    <x v="0"/>
    <x v="0"/>
    <n v="37.6"/>
  </r>
  <r>
    <x v="146"/>
    <x v="10"/>
    <x v="0"/>
    <x v="0"/>
    <n v="0"/>
    <n v="4"/>
    <n v="3"/>
    <n v="4.4000000000000004"/>
    <n v="24"/>
    <s v="Https://Www.Lastpass.Com"/>
    <s v="Free"/>
    <x v="1"/>
    <x v="0"/>
    <n v="105.60000000000001"/>
  </r>
  <r>
    <x v="147"/>
    <x v="10"/>
    <x v="0"/>
    <x v="0"/>
    <n v="0"/>
    <n v="8"/>
    <n v="3"/>
    <n v="4.5"/>
    <n v="8"/>
    <s v="Https://Www.Dashlane.Com"/>
    <s v="Free"/>
    <x v="0"/>
    <x v="0"/>
    <n v="36"/>
  </r>
  <r>
    <x v="148"/>
    <x v="10"/>
    <x v="0"/>
    <x v="0"/>
    <n v="0"/>
    <n v="4.99"/>
    <n v="3"/>
    <n v="4.4000000000000004"/>
    <n v="8"/>
    <s v="Https://Nordpass.Com"/>
    <s v="Free"/>
    <x v="1"/>
    <x v="0"/>
    <n v="35.200000000000003"/>
  </r>
  <r>
    <x v="149"/>
    <x v="11"/>
    <x v="0"/>
    <x v="1"/>
    <n v="3.99"/>
    <n v="6.99"/>
    <n v="3"/>
    <n v="4.7"/>
    <n v="19"/>
    <s v="Https://Nordvpn.Com"/>
    <s v="Low"/>
    <x v="0"/>
    <x v="1"/>
    <n v="17.895791583166332"/>
  </r>
  <r>
    <x v="150"/>
    <x v="11"/>
    <x v="0"/>
    <x v="1"/>
    <n v="12.95"/>
    <n v="12.95"/>
    <n v="3"/>
    <n v="4.7"/>
    <n v="8"/>
    <s v="Https://Www.Expressvpn.Com"/>
    <s v="Low"/>
    <x v="0"/>
    <x v="1"/>
    <n v="2.6953405017921148"/>
  </r>
  <r>
    <x v="151"/>
    <x v="11"/>
    <x v="0"/>
    <x v="1"/>
    <n v="2.4900000000000002"/>
    <n v="5.99"/>
    <n v="3"/>
    <n v="4.5"/>
    <n v="21"/>
    <s v="Https://Surfshark.Com"/>
    <s v="Low"/>
    <x v="0"/>
    <x v="1"/>
    <n v="27.077363896848137"/>
  </r>
  <r>
    <x v="152"/>
    <x v="11"/>
    <x v="0"/>
    <x v="0"/>
    <n v="0"/>
    <n v="4.99"/>
    <n v="2"/>
    <n v="4.5"/>
    <n v="8"/>
    <s v="Https://Protonvpn.Com"/>
    <s v="Free"/>
    <x v="0"/>
    <x v="0"/>
    <n v="36"/>
  </r>
  <r>
    <x v="153"/>
    <x v="11"/>
    <x v="0"/>
    <x v="1"/>
    <n v="12.99"/>
    <n v="12.99"/>
    <n v="2"/>
    <n v="4.3"/>
    <n v="8"/>
    <s v="Https://Www.Cyberghostvpn.Com"/>
    <s v="Low"/>
    <x v="1"/>
    <x v="1"/>
    <n v="2.4588992137240884"/>
  </r>
  <r>
    <x v="154"/>
    <x v="12"/>
    <x v="1"/>
    <x v="1"/>
    <n v="10"/>
    <n v="60"/>
    <n v="3"/>
    <n v="4.4000000000000004"/>
    <n v="14"/>
    <s v="Https://Midjourney.Com"/>
    <s v="Low"/>
    <x v="1"/>
    <x v="1"/>
    <n v="5.6000000000000005"/>
  </r>
  <r>
    <x v="155"/>
    <x v="12"/>
    <x v="1"/>
    <x v="1"/>
    <n v="20"/>
    <n v="20"/>
    <n v="1"/>
    <n v="4.5"/>
    <n v="12"/>
    <s v="Https://Openai.Com/Dall-E-3"/>
    <s v="Low"/>
    <x v="0"/>
    <x v="1"/>
    <n v="2.5714285714285716"/>
  </r>
  <r>
    <x v="156"/>
    <x v="12"/>
    <x v="1"/>
    <x v="0"/>
    <n v="0"/>
    <n v="20"/>
    <n v="2"/>
    <n v="4.3"/>
    <n v="12"/>
    <s v="Https://Stability.Ai"/>
    <s v="Free"/>
    <x v="1"/>
    <x v="0"/>
    <n v="51.599999999999994"/>
  </r>
  <r>
    <x v="157"/>
    <x v="12"/>
    <x v="1"/>
    <x v="0"/>
    <n v="0"/>
    <n v="5"/>
    <n v="2"/>
    <n v="4.4000000000000004"/>
    <n v="12"/>
    <s v="Https://Firefly.Adobe.Com"/>
    <s v="Free"/>
    <x v="1"/>
    <x v="0"/>
    <n v="52.800000000000004"/>
  </r>
  <r>
    <x v="158"/>
    <x v="12"/>
    <x v="1"/>
    <x v="0"/>
    <n v="0"/>
    <n v="30"/>
    <n v="3"/>
    <n v="4.5"/>
    <n v="12"/>
    <s v="Https://Leonardo.Ai"/>
    <s v="Free"/>
    <x v="0"/>
    <x v="0"/>
    <n v="54"/>
  </r>
  <r>
    <x v="159"/>
    <x v="13"/>
    <x v="1"/>
    <x v="0"/>
    <n v="0"/>
    <n v="89"/>
    <n v="4"/>
    <n v="4.7"/>
    <n v="12"/>
    <s v="Https://Synthesia.Io"/>
    <s v="Free"/>
    <x v="0"/>
    <x v="0"/>
    <n v="56.400000000000006"/>
  </r>
  <r>
    <x v="160"/>
    <x v="13"/>
    <x v="1"/>
    <x v="0"/>
    <n v="0"/>
    <n v="99"/>
    <n v="3"/>
    <n v="4.8"/>
    <n v="12"/>
    <s v="Https://Heygen.Com"/>
    <s v="Free"/>
    <x v="0"/>
    <x v="0"/>
    <n v="57.599999999999994"/>
  </r>
  <r>
    <x v="161"/>
    <x v="13"/>
    <x v="1"/>
    <x v="0"/>
    <n v="0"/>
    <n v="76"/>
    <n v="4"/>
    <n v="4.5"/>
    <n v="12"/>
    <s v="Https://Runwayml.Com"/>
    <s v="Free"/>
    <x v="0"/>
    <x v="0"/>
    <n v="54"/>
  </r>
  <r>
    <x v="162"/>
    <x v="13"/>
    <x v="1"/>
    <x v="0"/>
    <n v="0"/>
    <n v="76"/>
    <n v="4"/>
    <n v="4.4000000000000004"/>
    <n v="12"/>
    <s v="Https://Pika.Art"/>
    <s v="Free"/>
    <x v="1"/>
    <x v="0"/>
    <n v="52.800000000000004"/>
  </r>
  <r>
    <x v="163"/>
    <x v="14"/>
    <x v="1"/>
    <x v="0"/>
    <n v="0"/>
    <n v="39"/>
    <n v="5"/>
    <n v="4.5"/>
    <n v="16"/>
    <s v="Https://Github.Com/Features/Copilot"/>
    <s v="Free"/>
    <x v="0"/>
    <x v="0"/>
    <n v="72"/>
  </r>
  <r>
    <x v="164"/>
    <x v="14"/>
    <x v="1"/>
    <x v="0"/>
    <n v="0"/>
    <n v="40"/>
    <n v="3"/>
    <n v="4.7"/>
    <n v="12"/>
    <s v="Https://Cursor.Com"/>
    <s v="Free"/>
    <x v="0"/>
    <x v="0"/>
    <n v="56.400000000000006"/>
  </r>
  <r>
    <x v="165"/>
    <x v="14"/>
    <x v="1"/>
    <x v="0"/>
    <n v="0"/>
    <n v="40"/>
    <n v="4"/>
    <n v="4.5999999999999996"/>
    <n v="12"/>
    <s v="Https://Windsurf.Com"/>
    <s v="Free"/>
    <x v="0"/>
    <x v="0"/>
    <n v="55.199999999999996"/>
  </r>
  <r>
    <x v="166"/>
    <x v="15"/>
    <x v="1"/>
    <x v="0"/>
    <n v="0"/>
    <n v="99"/>
    <n v="4"/>
    <n v="4.7"/>
    <n v="12"/>
    <s v="Https://Elevenlabs.Io"/>
    <s v="Free"/>
    <x v="0"/>
    <x v="0"/>
    <n v="56.400000000000006"/>
  </r>
  <r>
    <x v="167"/>
    <x v="15"/>
    <x v="1"/>
    <x v="0"/>
    <n v="0"/>
    <n v="66"/>
    <n v="4"/>
    <n v="4.7"/>
    <n v="12"/>
    <s v="Https://Murf.Ai"/>
    <s v="Free"/>
    <x v="0"/>
    <x v="0"/>
    <n v="56.400000000000006"/>
  </r>
  <r>
    <x v="168"/>
    <x v="15"/>
    <x v="1"/>
    <x v="0"/>
    <n v="0"/>
    <n v="99"/>
    <n v="3"/>
    <n v="4.5"/>
    <n v="12"/>
    <s v="Https://Play.Ht"/>
    <s v="Free"/>
    <x v="0"/>
    <x v="0"/>
    <n v="54"/>
  </r>
  <r>
    <x v="169"/>
    <x v="16"/>
    <x v="1"/>
    <x v="0"/>
    <n v="0"/>
    <n v="60"/>
    <n v="3"/>
    <n v="4.7"/>
    <n v="12"/>
    <s v="Https://N8N.Io"/>
    <s v="Free"/>
    <x v="0"/>
    <x v="0"/>
    <n v="56.400000000000006"/>
  </r>
  <r>
    <x v="170"/>
    <x v="16"/>
    <x v="1"/>
    <x v="0"/>
    <n v="0"/>
    <n v="18"/>
    <n v="3"/>
    <n v="4.7"/>
    <n v="12"/>
    <s v="Https://Make.Com"/>
    <s v="Free"/>
    <x v="0"/>
    <x v="0"/>
    <n v="56.400000000000006"/>
  </r>
  <r>
    <x v="171"/>
    <x v="17"/>
    <x v="1"/>
    <x v="0"/>
    <n v="0"/>
    <n v="20"/>
    <n v="2"/>
    <n v="4.5999999999999996"/>
    <n v="12"/>
    <s v="Https://Perplexity.Ai"/>
    <s v="Free"/>
    <x v="0"/>
    <x v="0"/>
    <n v="55.199999999999996"/>
  </r>
  <r>
    <x v="172"/>
    <x v="8"/>
    <x v="1"/>
    <x v="0"/>
    <n v="0"/>
    <n v="20"/>
    <n v="3"/>
    <n v="4.5999999999999996"/>
    <n v="12"/>
    <s v="Https://Huggingface.Co"/>
    <s v="Free"/>
    <x v="0"/>
    <x v="0"/>
    <n v="55.199999999999996"/>
  </r>
  <r>
    <x v="173"/>
    <x v="9"/>
    <x v="1"/>
    <x v="0"/>
    <n v="0"/>
    <n v="199"/>
    <n v="3"/>
    <n v="4.7"/>
    <n v="12"/>
    <s v="Https://Writesonic.Com"/>
    <s v="Free"/>
    <x v="0"/>
    <x v="0"/>
    <n v="56.400000000000006"/>
  </r>
  <r>
    <x v="174"/>
    <x v="17"/>
    <x v="1"/>
    <x v="1"/>
    <n v="10"/>
    <n v="10"/>
    <n v="1"/>
    <n v="4.5999999999999996"/>
    <n v="12"/>
    <s v="Https://Notion.So/Product/Ai"/>
    <s v="Low"/>
    <x v="0"/>
    <x v="1"/>
    <n v="5.0181818181818176"/>
  </r>
  <r>
    <x v="175"/>
    <x v="9"/>
    <x v="1"/>
    <x v="0"/>
    <n v="0"/>
    <n v="29"/>
    <n v="3"/>
    <n v="4.7"/>
    <n v="12"/>
    <s v="Https://Rytr.Me"/>
    <s v="Free"/>
    <x v="0"/>
    <x v="0"/>
    <n v="56.400000000000006"/>
  </r>
  <r>
    <x v="176"/>
    <x v="9"/>
    <x v="1"/>
    <x v="0"/>
    <n v="0"/>
    <n v="9.99"/>
    <n v="3"/>
    <n v="4.5999999999999996"/>
    <n v="12"/>
    <s v="Https://Wordtune.Com"/>
    <s v="Free"/>
    <x v="0"/>
    <x v="0"/>
    <n v="55.199999999999996"/>
  </r>
  <r>
    <x v="177"/>
    <x v="9"/>
    <x v="1"/>
    <x v="0"/>
    <n v="0"/>
    <n v="13"/>
    <n v="2"/>
    <n v="4.5999999999999996"/>
    <n v="12"/>
    <s v="Https://Quillbot.Com"/>
    <s v="Free"/>
    <x v="0"/>
    <x v="0"/>
    <n v="55.199999999999996"/>
  </r>
  <r>
    <x v="178"/>
    <x v="9"/>
    <x v="1"/>
    <x v="1"/>
    <n v="10"/>
    <n v="44"/>
    <n v="3"/>
    <n v="4.5"/>
    <n v="12"/>
    <s v="Https://Sudowrite.Com"/>
    <s v="Low"/>
    <x v="0"/>
    <x v="1"/>
    <n v="4.9090909090909092"/>
  </r>
  <r>
    <x v="179"/>
    <x v="9"/>
    <x v="1"/>
    <x v="0"/>
    <n v="0"/>
    <n v="12"/>
    <n v="3"/>
    <n v="4.5"/>
    <n v="12"/>
    <s v="Https://Prowritingaid.Com"/>
    <s v="Free"/>
    <x v="0"/>
    <x v="0"/>
    <n v="54"/>
  </r>
  <r>
    <x v="180"/>
    <x v="9"/>
    <x v="1"/>
    <x v="1"/>
    <n v="19"/>
    <n v="49"/>
    <n v="3"/>
    <n v="4.4000000000000004"/>
    <n v="12"/>
    <s v="Https://Copysmith.Ai"/>
    <s v="Low"/>
    <x v="1"/>
    <x v="1"/>
    <n v="2.64"/>
  </r>
  <r>
    <x v="181"/>
    <x v="9"/>
    <x v="1"/>
    <x v="0"/>
    <n v="0"/>
    <n v="39"/>
    <n v="3"/>
    <n v="4.4000000000000004"/>
    <n v="12"/>
    <s v="Https://Studio.Ai21.Com"/>
    <s v="Free"/>
    <x v="1"/>
    <x v="0"/>
    <n v="52.800000000000004"/>
  </r>
  <r>
    <x v="182"/>
    <x v="12"/>
    <x v="1"/>
    <x v="0"/>
    <n v="0"/>
    <n v="15"/>
    <n v="3"/>
    <n v="4.7"/>
    <n v="12"/>
    <s v="Https://Canva.Com/Ai-Image-Generator"/>
    <s v="Free"/>
    <x v="0"/>
    <x v="0"/>
    <n v="56.400000000000006"/>
  </r>
  <r>
    <x v="183"/>
    <x v="12"/>
    <x v="1"/>
    <x v="0"/>
    <n v="0"/>
    <n v="20"/>
    <n v="3"/>
    <n v="4.5"/>
    <n v="12"/>
    <s v="Https://Ideogram.Ai"/>
    <s v="Free"/>
    <x v="0"/>
    <x v="0"/>
    <n v="54"/>
  </r>
  <r>
    <x v="184"/>
    <x v="12"/>
    <x v="1"/>
    <x v="0"/>
    <n v="0"/>
    <n v="35"/>
    <n v="3"/>
    <n v="4.5999999999999996"/>
    <n v="12"/>
    <s v="Https://Kling.Ai"/>
    <s v="Free"/>
    <x v="0"/>
    <x v="0"/>
    <n v="55.199999999999996"/>
  </r>
  <r>
    <x v="185"/>
    <x v="12"/>
    <x v="1"/>
    <x v="0"/>
    <n v="0"/>
    <n v="100"/>
    <n v="3"/>
    <n v="4.5"/>
    <n v="8"/>
    <s v="Https://Lumalabs.Ai"/>
    <s v="Free"/>
    <x v="0"/>
    <x v="0"/>
    <n v="36"/>
  </r>
  <r>
    <x v="186"/>
    <x v="12"/>
    <x v="1"/>
    <x v="1"/>
    <n v="199"/>
    <n v="399"/>
    <n v="3"/>
    <n v="4.7"/>
    <n v="12"/>
    <s v="Https://Topazlabs.Com"/>
    <s v="High"/>
    <x v="0"/>
    <x v="1"/>
    <n v="0.28200000000000003"/>
  </r>
  <r>
    <x v="187"/>
    <x v="12"/>
    <x v="1"/>
    <x v="1"/>
    <n v="14"/>
    <n v="99"/>
    <n v="3"/>
    <n v="4.5"/>
    <n v="12"/>
    <s v="Https://Skylum.Com/Luminar-Neo"/>
    <s v="Low"/>
    <x v="0"/>
    <x v="1"/>
    <n v="3.6"/>
  </r>
  <r>
    <x v="188"/>
    <x v="12"/>
    <x v="1"/>
    <x v="0"/>
    <n v="0"/>
    <n v="9"/>
    <n v="3"/>
    <n v="4.7"/>
    <n v="12"/>
    <s v="Https://Remove.Bg"/>
    <s v="Free"/>
    <x v="0"/>
    <x v="0"/>
    <n v="56.400000000000006"/>
  </r>
  <r>
    <x v="189"/>
    <x v="14"/>
    <x v="1"/>
    <x v="0"/>
    <n v="0"/>
    <n v="39"/>
    <n v="3"/>
    <n v="4.0999999999999996"/>
    <n v="12"/>
    <s v="Https://Tabnine.Com"/>
    <s v="Free"/>
    <x v="1"/>
    <x v="0"/>
    <n v="49.199999999999996"/>
  </r>
  <r>
    <x v="190"/>
    <x v="14"/>
    <x v="1"/>
    <x v="0"/>
    <n v="0"/>
    <n v="40"/>
    <n v="3"/>
    <n v="4.4000000000000004"/>
    <n v="12"/>
    <s v="Https://Replit.Com/Ai"/>
    <s v="Free"/>
    <x v="1"/>
    <x v="0"/>
    <n v="52.800000000000004"/>
  </r>
  <r>
    <x v="191"/>
    <x v="14"/>
    <x v="1"/>
    <x v="0"/>
    <n v="0"/>
    <n v="30"/>
    <n v="3"/>
    <n v="4.5999999999999996"/>
    <n v="12"/>
    <s v="Https://Bolt.New"/>
    <s v="Free"/>
    <x v="0"/>
    <x v="0"/>
    <n v="55.199999999999996"/>
  </r>
  <r>
    <x v="192"/>
    <x v="14"/>
    <x v="1"/>
    <x v="0"/>
    <n v="0"/>
    <n v="100"/>
    <n v="3"/>
    <n v="4.5999999999999996"/>
    <n v="12"/>
    <s v="Https://V0.App"/>
    <s v="Free"/>
    <x v="0"/>
    <x v="0"/>
    <n v="55.199999999999996"/>
  </r>
  <r>
    <x v="193"/>
    <x v="14"/>
    <x v="1"/>
    <x v="0"/>
    <n v="0"/>
    <n v="40"/>
    <n v="4"/>
    <n v="4.7"/>
    <n v="12"/>
    <s v="Https://Codeium.Com/Windsurf"/>
    <s v="Free"/>
    <x v="0"/>
    <x v="0"/>
    <n v="56.400000000000006"/>
  </r>
  <r>
    <x v="194"/>
    <x v="14"/>
    <x v="1"/>
    <x v="0"/>
    <n v="0"/>
    <n v="17"/>
    <n v="2"/>
    <n v="4.5"/>
    <n v="12"/>
    <s v="Https://Phind.Com"/>
    <s v="Free"/>
    <x v="0"/>
    <x v="0"/>
    <n v="54"/>
  </r>
  <r>
    <x v="195"/>
    <x v="16"/>
    <x v="1"/>
    <x v="0"/>
    <n v="0"/>
    <n v="69"/>
    <n v="4"/>
    <n v="4.5"/>
    <n v="12"/>
    <s v="Https://Zapier.Com/Ai"/>
    <s v="Free"/>
    <x v="0"/>
    <x v="0"/>
    <n v="54"/>
  </r>
  <r>
    <x v="196"/>
    <x v="18"/>
    <x v="1"/>
    <x v="0"/>
    <n v="0"/>
    <n v="10"/>
    <n v="2"/>
    <n v="4.3"/>
    <n v="12"/>
    <s v="Https://Character.Ai"/>
    <s v="Free"/>
    <x v="1"/>
    <x v="0"/>
    <n v="51.599999999999994"/>
  </r>
  <r>
    <x v="197"/>
    <x v="18"/>
    <x v="1"/>
    <x v="0"/>
    <n v="0"/>
    <n v="30"/>
    <n v="3"/>
    <n v="4.5"/>
    <n v="12"/>
    <s v="Https://Copilot.Microsoft.Com"/>
    <s v="Free"/>
    <x v="0"/>
    <x v="0"/>
    <n v="54"/>
  </r>
  <r>
    <x v="198"/>
    <x v="17"/>
    <x v="1"/>
    <x v="0"/>
    <n v="0"/>
    <n v="15"/>
    <n v="2"/>
    <n v="4.4000000000000004"/>
    <n v="12"/>
    <s v="Https://You.Com"/>
    <s v="Free"/>
    <x v="1"/>
    <x v="0"/>
    <n v="52.800000000000004"/>
  </r>
  <r>
    <x v="199"/>
    <x v="17"/>
    <x v="1"/>
    <x v="0"/>
    <n v="0"/>
    <n v="10"/>
    <n v="3"/>
    <n v="4.5999999999999996"/>
    <n v="12"/>
    <s v="Https://Consensus.App"/>
    <s v="Free"/>
    <x v="0"/>
    <x v="0"/>
    <n v="55.199999999999996"/>
  </r>
  <r>
    <x v="200"/>
    <x v="17"/>
    <x v="1"/>
    <x v="0"/>
    <n v="0"/>
    <n v="49"/>
    <n v="3"/>
    <n v="4.5"/>
    <n v="12"/>
    <s v="Https://Elicit.Com"/>
    <s v="Free"/>
    <x v="0"/>
    <x v="0"/>
    <n v="54"/>
  </r>
  <r>
    <x v="201"/>
    <x v="15"/>
    <x v="1"/>
    <x v="0"/>
    <n v="0"/>
    <n v="24"/>
    <n v="3"/>
    <n v="4.5999999999999996"/>
    <n v="12"/>
    <s v="Https://Suno.Com"/>
    <s v="Free"/>
    <x v="0"/>
    <x v="0"/>
    <n v="55.199999999999996"/>
  </r>
  <r>
    <x v="202"/>
    <x v="15"/>
    <x v="1"/>
    <x v="0"/>
    <n v="0"/>
    <n v="30"/>
    <n v="3"/>
    <n v="4.5"/>
    <n v="12"/>
    <s v="Https://Udio.Com"/>
    <s v="Free"/>
    <x v="0"/>
    <x v="0"/>
    <n v="54"/>
  </r>
  <r>
    <x v="203"/>
    <x v="15"/>
    <x v="1"/>
    <x v="0"/>
    <n v="0"/>
    <n v="5"/>
    <n v="2"/>
    <n v="4.5999999999999996"/>
    <n v="12"/>
    <s v="Https://Podcast.Adobe.Com"/>
    <s v="Free"/>
    <x v="0"/>
    <x v="0"/>
    <n v="55.199999999999996"/>
  </r>
  <r>
    <x v="204"/>
    <x v="17"/>
    <x v="1"/>
    <x v="0"/>
    <n v="0"/>
    <n v="40"/>
    <n v="4"/>
    <n v="4.2"/>
    <n v="12"/>
    <s v="Https://Otter.Ai"/>
    <s v="Free"/>
    <x v="1"/>
    <x v="0"/>
    <n v="50.400000000000006"/>
  </r>
  <r>
    <x v="205"/>
    <x v="17"/>
    <x v="1"/>
    <x v="0"/>
    <n v="0"/>
    <n v="29"/>
    <n v="3"/>
    <n v="4.7"/>
    <n v="12"/>
    <s v="Https://Fireflies.Ai"/>
    <s v="Free"/>
    <x v="0"/>
    <x v="0"/>
    <n v="56.400000000000006"/>
  </r>
  <r>
    <x v="206"/>
    <x v="17"/>
    <x v="1"/>
    <x v="0"/>
    <n v="0"/>
    <n v="50"/>
    <n v="3"/>
    <n v="4.4000000000000004"/>
    <n v="12"/>
    <s v="Https://Mem.Ai"/>
    <s v="Free"/>
    <x v="1"/>
    <x v="0"/>
    <n v="52.800000000000004"/>
  </r>
  <r>
    <x v="207"/>
    <x v="17"/>
    <x v="1"/>
    <x v="1"/>
    <n v="12"/>
    <n v="40"/>
    <n v="3"/>
    <n v="4.4000000000000004"/>
    <n v="12"/>
    <s v="Https://Beautiful.Ai"/>
    <s v="Low"/>
    <x v="1"/>
    <x v="1"/>
    <n v="4.0615384615384622"/>
  </r>
  <r>
    <x v="208"/>
    <x v="17"/>
    <x v="1"/>
    <x v="0"/>
    <n v="0"/>
    <n v="15"/>
    <n v="3"/>
    <n v="4.7"/>
    <n v="12"/>
    <s v="Https://Gamma.App"/>
    <s v="Free"/>
    <x v="0"/>
    <x v="0"/>
    <n v="56.400000000000006"/>
  </r>
  <r>
    <x v="209"/>
    <x v="17"/>
    <x v="1"/>
    <x v="0"/>
    <n v="0"/>
    <n v="16"/>
    <n v="3"/>
    <n v="4.5"/>
    <n v="12"/>
    <s v="Https://Tome.App"/>
    <s v="Free"/>
    <x v="0"/>
    <x v="0"/>
    <n v="54"/>
  </r>
  <r>
    <x v="210"/>
    <x v="13"/>
    <x v="1"/>
    <x v="0"/>
    <n v="0"/>
    <n v="35"/>
    <n v="3"/>
    <n v="4.5999999999999996"/>
    <n v="12"/>
    <s v="Https://Descript.Com"/>
    <s v="Free"/>
    <x v="0"/>
    <x v="0"/>
    <n v="55.199999999999996"/>
  </r>
  <r>
    <x v="211"/>
    <x v="13"/>
    <x v="1"/>
    <x v="0"/>
    <n v="0"/>
    <n v="20"/>
    <n v="3"/>
    <n v="4.5999999999999996"/>
    <n v="12"/>
    <s v="Https://Capcut.Com"/>
    <s v="Free"/>
    <x v="0"/>
    <x v="0"/>
    <n v="55.199999999999996"/>
  </r>
  <r>
    <x v="212"/>
    <x v="13"/>
    <x v="1"/>
    <x v="0"/>
    <n v="0"/>
    <n v="39"/>
    <n v="3"/>
    <n v="4.5"/>
    <n v="12"/>
    <s v="Https://Vidiq.Com"/>
    <s v="Free"/>
    <x v="0"/>
    <x v="0"/>
    <n v="54"/>
  </r>
  <r>
    <x v="213"/>
    <x v="13"/>
    <x v="1"/>
    <x v="0"/>
    <n v="0"/>
    <n v="48"/>
    <n v="3"/>
    <n v="4.5"/>
    <n v="12"/>
    <s v="Https://Invideo.Io"/>
    <s v="Free"/>
    <x v="0"/>
    <x v="0"/>
    <n v="54"/>
  </r>
  <r>
    <x v="214"/>
    <x v="17"/>
    <x v="1"/>
    <x v="1"/>
    <n v="50"/>
    <n v="100"/>
    <n v="3"/>
    <n v="4.5999999999999996"/>
    <n v="12"/>
    <s v="Https://Zams.Com"/>
    <s v="Medium"/>
    <x v="0"/>
    <x v="1"/>
    <n v="1.0823529411764705"/>
  </r>
  <r>
    <x v="215"/>
    <x v="8"/>
    <x v="1"/>
    <x v="0"/>
    <n v="0"/>
    <n v="16"/>
    <n v="2"/>
    <n v="4.3"/>
    <n v="8"/>
    <s v="Https://X.Ai/Grok"/>
    <s v="Free"/>
    <x v="1"/>
    <x v="0"/>
    <n v="34.4"/>
  </r>
  <r>
    <x v="216"/>
    <x v="8"/>
    <x v="1"/>
    <x v="1"/>
    <n v="19.989999999999998"/>
    <n v="19.989999999999998"/>
    <n v="1"/>
    <n v="4.5"/>
    <n v="8"/>
    <s v="Https://Gemini.Google.Com/Advanced"/>
    <s v="Low"/>
    <x v="0"/>
    <x v="1"/>
    <n v="1.7151024297284423"/>
  </r>
  <r>
    <x v="217"/>
    <x v="8"/>
    <x v="1"/>
    <x v="0"/>
    <n v="0"/>
    <n v="30"/>
    <n v="3"/>
    <n v="4.7"/>
    <n v="20"/>
    <s v="Https://Openai.Com/Gpt-4O"/>
    <s v="Free"/>
    <x v="0"/>
    <x v="0"/>
    <n v="94"/>
  </r>
  <r>
    <x v="218"/>
    <x v="8"/>
    <x v="1"/>
    <x v="0"/>
    <n v="0"/>
    <n v="30"/>
    <n v="3"/>
    <n v="4.7"/>
    <n v="20"/>
    <s v="Https://Claude.Ai"/>
    <s v="Free"/>
    <x v="0"/>
    <x v="0"/>
    <n v="94"/>
  </r>
  <r>
    <x v="219"/>
    <x v="8"/>
    <x v="1"/>
    <x v="0"/>
    <n v="0"/>
    <n v="20"/>
    <n v="2"/>
    <n v="4.5"/>
    <n v="20"/>
    <s v="Https://Gemini.Google.Com"/>
    <s v="Free"/>
    <x v="0"/>
    <x v="0"/>
    <n v="90"/>
  </r>
  <r>
    <x v="220"/>
    <x v="8"/>
    <x v="1"/>
    <x v="0"/>
    <n v="0"/>
    <n v="16"/>
    <n v="3"/>
    <n v="4.2"/>
    <n v="20"/>
    <s v="Https://X.Ai/Grok"/>
    <s v="Free"/>
    <x v="1"/>
    <x v="0"/>
    <n v="84"/>
  </r>
  <r>
    <x v="221"/>
    <x v="8"/>
    <x v="1"/>
    <x v="1"/>
    <n v="20"/>
    <n v="200"/>
    <n v="2"/>
    <n v="4.5999999999999996"/>
    <n v="20"/>
    <s v="Https://Openai.Com/O1"/>
    <s v="Low"/>
    <x v="0"/>
    <x v="1"/>
    <n v="4.3809523809523814"/>
  </r>
  <r>
    <x v="222"/>
    <x v="16"/>
    <x v="1"/>
    <x v="1"/>
    <n v="20"/>
    <n v="80"/>
    <n v="3"/>
    <n v="4"/>
    <n v="20"/>
    <s v="Https://Devin.Ai"/>
    <s v="Low"/>
    <x v="1"/>
    <x v="1"/>
    <n v="3.8095238095238093"/>
  </r>
  <r>
    <x v="223"/>
    <x v="16"/>
    <x v="1"/>
    <x v="0"/>
    <n v="0"/>
    <n v="199"/>
    <n v="3"/>
    <n v="4.5"/>
    <n v="20"/>
    <s v="Https://Relevanceai.Com"/>
    <s v="Free"/>
    <x v="0"/>
    <x v="0"/>
    <n v="90"/>
  </r>
  <r>
    <x v="224"/>
    <x v="18"/>
    <x v="1"/>
    <x v="1"/>
    <n v="39"/>
    <n v="99"/>
    <n v="2"/>
    <n v="4.5"/>
    <n v="20"/>
    <s v="Https://Intercom.Com/Fin"/>
    <s v="Medium"/>
    <x v="0"/>
    <x v="1"/>
    <n v="2.25"/>
  </r>
  <r>
    <x v="225"/>
    <x v="18"/>
    <x v="1"/>
    <x v="0"/>
    <n v="0"/>
    <n v="59"/>
    <n v="3"/>
    <n v="4.7"/>
    <n v="20"/>
    <s v="Https://Tidio.Com"/>
    <s v="Free"/>
    <x v="0"/>
    <x v="0"/>
    <n v="94"/>
  </r>
  <r>
    <x v="226"/>
    <x v="18"/>
    <x v="1"/>
    <x v="0"/>
    <n v="0"/>
    <n v="300"/>
    <n v="4"/>
    <n v="4.4000000000000004"/>
    <n v="20"/>
    <s v="Https://Chatbase.Co"/>
    <s v="Free"/>
    <x v="1"/>
    <x v="0"/>
    <n v="88"/>
  </r>
  <r>
    <x v="227"/>
    <x v="18"/>
    <x v="1"/>
    <x v="0"/>
    <n v="0"/>
    <n v="89"/>
    <n v="2"/>
    <n v="4.5999999999999996"/>
    <n v="20"/>
    <s v="Https://Botpress.Com"/>
    <s v="Free"/>
    <x v="0"/>
    <x v="0"/>
    <n v="92"/>
  </r>
  <r>
    <x v="228"/>
    <x v="18"/>
    <x v="1"/>
    <x v="0"/>
    <n v="0"/>
    <n v="125"/>
    <n v="3"/>
    <n v="4.5"/>
    <n v="20"/>
    <s v="Https://Voiceflow.Com"/>
    <s v="Free"/>
    <x v="0"/>
    <x v="0"/>
    <n v="90"/>
  </r>
  <r>
    <x v="229"/>
    <x v="14"/>
    <x v="1"/>
    <x v="0"/>
    <n v="0"/>
    <n v="40"/>
    <n v="4"/>
    <n v="4.5999999999999996"/>
    <n v="20"/>
    <s v="Https://Codeium.Com/Windsurf"/>
    <s v="Free"/>
    <x v="0"/>
    <x v="0"/>
    <n v="92"/>
  </r>
  <r>
    <x v="230"/>
    <x v="9"/>
    <x v="1"/>
    <x v="1"/>
    <n v="99"/>
    <n v="182"/>
    <n v="3"/>
    <n v="4.8"/>
    <n v="20"/>
    <s v="Https://Surferseo.Com"/>
    <s v="High"/>
    <x v="0"/>
    <x v="1"/>
    <n v="0.96"/>
  </r>
  <r>
    <x v="231"/>
    <x v="13"/>
    <x v="1"/>
    <x v="1"/>
    <n v="20"/>
    <n v="200"/>
    <n v="2"/>
    <n v="4.3"/>
    <n v="20"/>
    <s v="Https://Openai.Com/Sora"/>
    <s v="Low"/>
    <x v="1"/>
    <x v="1"/>
    <n v="4.0952380952380949"/>
  </r>
  <r>
    <x v="232"/>
    <x v="15"/>
    <x v="1"/>
    <x v="0"/>
    <n v="0"/>
    <n v="29"/>
    <n v="2"/>
    <n v="4.7"/>
    <n v="20"/>
    <s v="Https://Speechify.Com"/>
    <s v="Free"/>
    <x v="0"/>
    <x v="0"/>
    <n v="94"/>
  </r>
  <r>
    <x v="233"/>
    <x v="19"/>
    <x v="2"/>
    <x v="0"/>
    <n v="0"/>
    <n v="60"/>
    <n v="4"/>
    <n v="4.3"/>
    <n v="12"/>
    <s v="Https://3Commas.Io"/>
    <s v="Free"/>
    <x v="1"/>
    <x v="0"/>
    <n v="51.599999999999994"/>
  </r>
  <r>
    <x v="234"/>
    <x v="19"/>
    <x v="2"/>
    <x v="0"/>
    <n v="0"/>
    <n v="129"/>
    <n v="4"/>
    <n v="4"/>
    <n v="12"/>
    <s v="Https://Www.Cryptohopper.Com"/>
    <s v="Free"/>
    <x v="1"/>
    <x v="0"/>
    <n v="48"/>
  </r>
  <r>
    <x v="235"/>
    <x v="19"/>
    <x v="2"/>
    <x v="0"/>
    <n v="0"/>
    <n v="96"/>
    <n v="2"/>
    <n v="4.3"/>
    <n v="12"/>
    <s v="Https://Www.Pionex.Com"/>
    <s v="Free"/>
    <x v="1"/>
    <x v="0"/>
    <n v="51.599999999999994"/>
  </r>
  <r>
    <x v="236"/>
    <x v="19"/>
    <x v="2"/>
    <x v="0"/>
    <n v="0"/>
    <n v="119"/>
    <n v="4"/>
    <n v="4.2"/>
    <n v="12"/>
    <s v="Https://Bitsgap.Com"/>
    <s v="Free"/>
    <x v="1"/>
    <x v="0"/>
    <n v="50.400000000000006"/>
  </r>
  <r>
    <x v="237"/>
    <x v="19"/>
    <x v="2"/>
    <x v="0"/>
    <n v="0"/>
    <n v="59"/>
    <n v="4"/>
    <n v="4.0999999999999996"/>
    <n v="12"/>
    <s v="Https://Www.Cornix.Io"/>
    <s v="Free"/>
    <x v="1"/>
    <x v="0"/>
    <n v="49.199999999999996"/>
  </r>
  <r>
    <x v="238"/>
    <x v="19"/>
    <x v="2"/>
    <x v="0"/>
    <n v="0"/>
    <n v="45"/>
    <n v="4"/>
    <n v="3.9"/>
    <n v="12"/>
    <s v="Https://Tradesanta.Com"/>
    <s v="Free"/>
    <x v="2"/>
    <x v="0"/>
    <n v="46.8"/>
  </r>
  <r>
    <x v="239"/>
    <x v="19"/>
    <x v="2"/>
    <x v="0"/>
    <n v="0"/>
    <n v="69"/>
    <n v="4"/>
    <n v="4"/>
    <n v="12"/>
    <s v="Https://Wundertrading.Com"/>
    <s v="Free"/>
    <x v="1"/>
    <x v="0"/>
    <n v="48"/>
  </r>
  <r>
    <x v="240"/>
    <x v="19"/>
    <x v="2"/>
    <x v="0"/>
    <n v="0"/>
    <n v="55"/>
    <n v="4"/>
    <n v="4.2"/>
    <n v="12"/>
    <s v="Https://Altrady.Com"/>
    <s v="Free"/>
    <x v="1"/>
    <x v="0"/>
    <n v="50.400000000000006"/>
  </r>
  <r>
    <x v="241"/>
    <x v="20"/>
    <x v="2"/>
    <x v="0"/>
    <n v="0"/>
    <n v="79"/>
    <n v="3"/>
    <n v="4.4000000000000004"/>
    <n v="11"/>
    <s v="Https://Www.Coinglass.Com"/>
    <s v="Free"/>
    <x v="1"/>
    <x v="0"/>
    <n v="48.400000000000006"/>
  </r>
  <r>
    <x v="242"/>
    <x v="20"/>
    <x v="2"/>
    <x v="0"/>
    <n v="0"/>
    <n v="999"/>
    <n v="3"/>
    <n v="4.5"/>
    <n v="12"/>
    <s v="Https://Glassnode.Com"/>
    <s v="Free"/>
    <x v="0"/>
    <x v="0"/>
    <n v="54"/>
  </r>
  <r>
    <x v="243"/>
    <x v="20"/>
    <x v="2"/>
    <x v="1"/>
    <n v="150"/>
    <n v="500"/>
    <n v="3"/>
    <n v="4.5"/>
    <n v="12"/>
    <s v="Https://Www.Nansen.Ai"/>
    <s v="High"/>
    <x v="0"/>
    <x v="1"/>
    <n v="0.35761589403973509"/>
  </r>
  <r>
    <x v="244"/>
    <x v="20"/>
    <x v="2"/>
    <x v="0"/>
    <n v="0"/>
    <n v="249"/>
    <n v="4"/>
    <n v="4"/>
    <n v="12"/>
    <s v="Https://Santiment.Net"/>
    <s v="Free"/>
    <x v="1"/>
    <x v="0"/>
    <n v="48"/>
  </r>
  <r>
    <x v="245"/>
    <x v="20"/>
    <x v="2"/>
    <x v="0"/>
    <n v="0"/>
    <n v="399"/>
    <n v="4"/>
    <n v="4.5999999999999996"/>
    <n v="12"/>
    <s v="Https://Dune.Com"/>
    <s v="Free"/>
    <x v="0"/>
    <x v="0"/>
    <n v="55.199999999999996"/>
  </r>
  <r>
    <x v="246"/>
    <x v="20"/>
    <x v="2"/>
    <x v="0"/>
    <n v="0"/>
    <n v="350"/>
    <n v="3"/>
    <n v="4.2"/>
    <n v="12"/>
    <s v="Https://Tokenterminal.Com"/>
    <s v="Free"/>
    <x v="1"/>
    <x v="0"/>
    <n v="50.400000000000006"/>
  </r>
  <r>
    <x v="247"/>
    <x v="20"/>
    <x v="2"/>
    <x v="0"/>
    <n v="0"/>
    <n v="100"/>
    <n v="3"/>
    <n v="4"/>
    <n v="12"/>
    <s v="Https://Www.Intotheblock.Com"/>
    <s v="Free"/>
    <x v="1"/>
    <x v="0"/>
    <n v="48"/>
  </r>
  <r>
    <x v="248"/>
    <x v="21"/>
    <x v="2"/>
    <x v="0"/>
    <n v="0"/>
    <n v="199"/>
    <n v="4"/>
    <n v="4.3"/>
    <n v="12"/>
    <s v="Https://Koinly.Io"/>
    <s v="Free"/>
    <x v="1"/>
    <x v="0"/>
    <n v="51.599999999999994"/>
  </r>
  <r>
    <x v="249"/>
    <x v="21"/>
    <x v="2"/>
    <x v="0"/>
    <n v="0"/>
    <n v="599"/>
    <n v="4"/>
    <n v="4.0999999999999996"/>
    <n v="12"/>
    <s v="Https://Www.Cointracker.Io"/>
    <s v="Free"/>
    <x v="1"/>
    <x v="0"/>
    <n v="49.199999999999996"/>
  </r>
  <r>
    <x v="250"/>
    <x v="21"/>
    <x v="2"/>
    <x v="1"/>
    <n v="49"/>
    <n v="3499"/>
    <n v="3"/>
    <n v="4"/>
    <n v="12"/>
    <s v="Https://Tokentax.Co"/>
    <s v="Medium"/>
    <x v="1"/>
    <x v="1"/>
    <n v="0.96"/>
  </r>
  <r>
    <x v="251"/>
    <x v="21"/>
    <x v="2"/>
    <x v="0"/>
    <n v="0"/>
    <n v="399"/>
    <n v="4"/>
    <n v="4"/>
    <n v="12"/>
    <s v="Https://Www.Zenledger.Io"/>
    <s v="Free"/>
    <x v="1"/>
    <x v="0"/>
    <n v="48"/>
  </r>
  <r>
    <x v="252"/>
    <x v="21"/>
    <x v="2"/>
    <x v="0"/>
    <n v="0"/>
    <n v="199"/>
    <n v="4"/>
    <n v="4.2"/>
    <n v="12"/>
    <s v="Https://Coinledger.Io"/>
    <s v="Free"/>
    <x v="1"/>
    <x v="0"/>
    <n v="50.400000000000006"/>
  </r>
  <r>
    <x v="253"/>
    <x v="21"/>
    <x v="2"/>
    <x v="0"/>
    <n v="0"/>
    <n v="199"/>
    <n v="4"/>
    <n v="4.0999999999999996"/>
    <n v="12"/>
    <s v="Https://Www.Blockpit.Io"/>
    <s v="Free"/>
    <x v="1"/>
    <x v="0"/>
    <n v="49.199999999999996"/>
  </r>
  <r>
    <x v="254"/>
    <x v="22"/>
    <x v="2"/>
    <x v="0"/>
    <n v="0"/>
    <n v="13.99"/>
    <n v="2"/>
    <n v="4.4000000000000004"/>
    <n v="12"/>
    <s v="Https://Coinstats.App"/>
    <s v="Free"/>
    <x v="1"/>
    <x v="0"/>
    <n v="52.800000000000004"/>
  </r>
  <r>
    <x v="255"/>
    <x v="22"/>
    <x v="2"/>
    <x v="0"/>
    <n v="0"/>
    <n v="8.99"/>
    <n v="2"/>
    <n v="4.2"/>
    <n v="12"/>
    <s v="Https://Delta.App"/>
    <s v="Free"/>
    <x v="1"/>
    <x v="0"/>
    <n v="50.400000000000006"/>
  </r>
  <r>
    <x v="256"/>
    <x v="22"/>
    <x v="2"/>
    <x v="0"/>
    <n v="0"/>
    <n v="14.99"/>
    <n v="2"/>
    <n v="4.5"/>
    <n v="12"/>
    <s v="Https://Zerion.Io"/>
    <s v="Free"/>
    <x v="0"/>
    <x v="0"/>
    <n v="54"/>
  </r>
  <r>
    <x v="257"/>
    <x v="22"/>
    <x v="2"/>
    <x v="0"/>
    <n v="0"/>
    <n v="96"/>
    <n v="2"/>
    <n v="4.5999999999999996"/>
    <n v="12"/>
    <s v="Https://Debank.Com"/>
    <s v="Free"/>
    <x v="0"/>
    <x v="0"/>
    <n v="55.199999999999996"/>
  </r>
  <r>
    <x v="258"/>
    <x v="22"/>
    <x v="2"/>
    <x v="0"/>
    <n v="0"/>
    <n v="7.49"/>
    <n v="2"/>
    <n v="4.7"/>
    <n v="12"/>
    <s v="Https://Www.Coingecko.Com"/>
    <s v="Free"/>
    <x v="0"/>
    <x v="0"/>
    <n v="56.400000000000006"/>
  </r>
  <r>
    <x v="259"/>
    <x v="23"/>
    <x v="2"/>
    <x v="0"/>
    <n v="0"/>
    <n v="29.99"/>
    <n v="3"/>
    <n v="4.0999999999999996"/>
    <n v="12"/>
    <s v="Https://Www.Coinbase.Com"/>
    <s v="Free"/>
    <x v="1"/>
    <x v="0"/>
    <n v="49.199999999999996"/>
  </r>
  <r>
    <x v="260"/>
    <x v="24"/>
    <x v="2"/>
    <x v="1"/>
    <n v="79"/>
    <n v="399"/>
    <n v="3"/>
    <n v="4.4000000000000004"/>
    <n v="12"/>
    <s v="Https://Www.Ledger.Com"/>
    <s v="High"/>
    <x v="1"/>
    <x v="1"/>
    <n v="0.66"/>
  </r>
  <r>
    <x v="261"/>
    <x v="24"/>
    <x v="2"/>
    <x v="1"/>
    <n v="79"/>
    <n v="169"/>
    <n v="2"/>
    <n v="4.3"/>
    <n v="12"/>
    <s v="Https://Trezor.Io"/>
    <s v="High"/>
    <x v="1"/>
    <x v="1"/>
    <n v="0.64499999999999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E02D7-E466-4845-9696-3DCAA5AAD285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3:M28" firstHeaderRow="1" firstDataRow="1" firstDataCol="1"/>
  <pivotFields count="14">
    <pivotField showAll="0"/>
    <pivotField axis="axisRow" showAll="0">
      <items count="26">
        <item x="6"/>
        <item x="16"/>
        <item x="18"/>
        <item x="14"/>
        <item x="12"/>
        <item x="17"/>
        <item x="13"/>
        <item x="15"/>
        <item x="9"/>
        <item x="4"/>
        <item x="1"/>
        <item x="20"/>
        <item x="23"/>
        <item x="22"/>
        <item x="21"/>
        <item x="19"/>
        <item x="24"/>
        <item x="5"/>
        <item x="2"/>
        <item x="8"/>
        <item x="10"/>
        <item x="0"/>
        <item x="7"/>
        <item x="11"/>
        <item x="3"/>
        <item t="default"/>
      </items>
    </pivotField>
    <pivotField showAll="0"/>
    <pivotField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Average of Rrating" fld="7" subtotal="average" baseField="0" baseItem="0"/>
  </dataFields>
  <formats count="1">
    <format dxfId="23">
      <pivotArea outline="0" collapsedLevelsAreSubtotals="1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424D-941B-46D6-B15F-996973F38CE4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ating Level">
  <location ref="A16:C19" firstHeaderRow="0" firstDataRow="1" firstDataCol="1"/>
  <pivotFields count="14">
    <pivotField dataField="1" showAll="0"/>
    <pivotField showAll="0" sortType="ascending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3"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Count of Tool_Name" fld="0" subtotal="count" baseField="0" baseItem="0"/>
    <dataField name="Count of Tool_Name2" fld="0" subtotal="count" showDataAs="percentOfTotal" baseField="11" baseItem="1" numFmtId="1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22446-F0EA-4B78-9670-0E8FFAECD799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3:B48" firstHeaderRow="1" firstDataRow="1" firstDataCol="1"/>
  <pivotFields count="14">
    <pivotField showAll="0"/>
    <pivotField axis="axisRow" showAll="0" sortType="descending">
      <items count="26">
        <item x="6"/>
        <item x="16"/>
        <item x="18"/>
        <item x="14"/>
        <item x="12"/>
        <item x="17"/>
        <item x="13"/>
        <item x="15"/>
        <item x="9"/>
        <item x="4"/>
        <item x="1"/>
        <item x="20"/>
        <item x="23"/>
        <item x="22"/>
        <item x="21"/>
        <item x="19"/>
        <item x="24"/>
        <item x="5"/>
        <item x="2"/>
        <item x="8"/>
        <item x="10"/>
        <item x="0"/>
        <item x="7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5">
    <i>
      <x v="21"/>
    </i>
    <i>
      <x v="2"/>
    </i>
    <i>
      <x v="22"/>
    </i>
    <i>
      <x v="24"/>
    </i>
    <i>
      <x v="7"/>
    </i>
    <i>
      <x v="18"/>
    </i>
    <i>
      <x v="3"/>
    </i>
    <i>
      <x v="19"/>
    </i>
    <i>
      <x v="13"/>
    </i>
    <i>
      <x v="1"/>
    </i>
    <i>
      <x v="20"/>
    </i>
    <i>
      <x v="15"/>
    </i>
    <i>
      <x v="6"/>
    </i>
    <i>
      <x v="12"/>
    </i>
    <i>
      <x v="17"/>
    </i>
    <i>
      <x v="11"/>
    </i>
    <i>
      <x v="9"/>
    </i>
    <i>
      <x v="14"/>
    </i>
    <i>
      <x v="5"/>
    </i>
    <i>
      <x v="4"/>
    </i>
    <i>
      <x v="8"/>
    </i>
    <i>
      <x/>
    </i>
    <i>
      <x v="10"/>
    </i>
    <i>
      <x v="23"/>
    </i>
    <i>
      <x v="16"/>
    </i>
  </rowItems>
  <colItems count="1">
    <i/>
  </colItems>
  <dataFields count="1">
    <dataField name="Average of Value Score" fld="13" subtotal="average" baseField="1" baseItem="0" numFmtId="2"/>
  </dataFields>
  <formats count="4">
    <format dxfId="27">
      <pivotArea collapsedLevelsAreSubtotals="1" fieldPosition="0">
        <references count="1">
          <reference field="1" count="1">
            <x v="21"/>
          </reference>
        </references>
      </pivotArea>
    </format>
    <format dxfId="26">
      <pivotArea collapsedLevelsAreSubtotals="1" fieldPosition="0">
        <references count="1">
          <reference field="1" count="1">
            <x v="2"/>
          </reference>
        </references>
      </pivotArea>
    </format>
    <format dxfId="25">
      <pivotArea field="1" type="button" dataOnly="0" labelOnly="1" outline="0" axis="axisRow" fieldPosition="0"/>
    </format>
    <format dxfId="24">
      <pivotArea outline="0" collapsedLevelsAreSubtotals="1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90BCC-2AD8-4A6F-A04C-F8A7AB0547E7}" name="PivotTable5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E3:G6" firstHeaderRow="0" firstDataRow="1" firstDataCol="1"/>
  <pivotFields count="14">
    <pivotField showAll="0"/>
    <pivotField showAll="0" sortType="ascending">
      <items count="26">
        <item x="6"/>
        <item x="16"/>
        <item x="18"/>
        <item x="14"/>
        <item x="12"/>
        <item x="17"/>
        <item x="13"/>
        <item x="15"/>
        <item x="9"/>
        <item x="4"/>
        <item x="1"/>
        <item x="20"/>
        <item x="23"/>
        <item x="22"/>
        <item x="21"/>
        <item x="19"/>
        <item x="24"/>
        <item x="5"/>
        <item x="2"/>
        <item x="8"/>
        <item x="10"/>
        <item x="0"/>
        <item x="7"/>
        <item x="1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Starting_Price_Usd" fld="4" subtotal="average" baseField="2" baseItem="0" numFmtId="164"/>
    <dataField name="Average of Highest_Plan_Price_Usd" fld="5" subtotal="average" baseField="2" baseItem="0" numFmtId="164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212BB-B1E3-4183-8849-1A264F82CD63}" name="PivotTable1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Category ">
  <location ref="A3:B6" firstHeaderRow="1" firstDataRow="1" firstDataCol="1"/>
  <pivotFields count="14">
    <pivotField dataField="1" showAll="0"/>
    <pivotField showAll="0" sortType="ascending"/>
    <pivotField axis="axisRow" showAll="0">
      <items count="4">
        <item x="1"/>
        <item x="0"/>
        <item x="2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Tool_Name" fld="0" subtotal="count" baseField="0" baseItem="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AF69B-E6CB-46FB-84D3-DC30C0ACD571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18:I19" firstHeaderRow="1" firstDataRow="1" firstDataCol="0"/>
  <pivotFields count="14">
    <pivotField showAll="0"/>
    <pivotField showAll="0" sortType="ascending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tarting_Price_Usd" fld="4" subtotal="average" baseField="0" baseItem="0" numFmtId="164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59D33-7514-4EB7-B997-9E89464A85FA}" name="PivotTable1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24:I25" firstHeaderRow="1" firstDataRow="1" firstDataCol="0"/>
  <pivotFields count="14">
    <pivotField showAll="0"/>
    <pivotField showAll="0" sortType="ascending"/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Highest_Plan_Price_Usd" fld="5" subtotal="average" baseField="0" baseItem="0" numFmtId="164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22EBB-8B1D-4AC9-8F0A-0ECD5C43C8FC}" name="PivotTable1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28:I29" firstHeaderRow="1" firstDataRow="1" firstDataCol="0"/>
  <pivotFields count="14">
    <pivotField showAll="0"/>
    <pivotField showAll="0" sortType="ascending"/>
    <pivotField showAll="0"/>
    <pivotField dataField="1" showAll="0">
      <items count="3"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Free_Plan" fld="3" subtotal="count" baseField="0" baseItem="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4BDF9-1454-4830-BF9E-299190361905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Free Plan Label">
  <location ref="A10:C12" firstHeaderRow="0" firstDataRow="1" firstDataCol="1"/>
  <pivotFields count="14">
    <pivotField dataField="1" showAll="0"/>
    <pivotField showAll="0" sortType="ascending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Tool_Name" fld="0" subtotal="count" baseField="0" baseItem="0"/>
    <dataField name="Count of Tool_Name2" fld="0" subtotal="count" showDataAs="percentOfTotal" baseField="12" baseItem="1" numFmtId="1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E14B7-E830-4972-9412-B939799CA0FC}" name="PivotTable6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E10:G35" firstHeaderRow="0" firstDataRow="1" firstDataCol="1"/>
  <pivotFields count="14">
    <pivotField showAll="0"/>
    <pivotField axis="axisRow" showAll="0" sortType="ascending">
      <items count="26">
        <item x="6"/>
        <item x="16"/>
        <item x="18"/>
        <item x="14"/>
        <item x="12"/>
        <item x="17"/>
        <item x="13"/>
        <item x="15"/>
        <item x="9"/>
        <item x="4"/>
        <item x="1"/>
        <item x="20"/>
        <item x="23"/>
        <item x="22"/>
        <item x="21"/>
        <item x="19"/>
        <item x="24"/>
        <item x="5"/>
        <item x="2"/>
        <item x="8"/>
        <item x="10"/>
        <item x="0"/>
        <item x="7"/>
        <item x="11"/>
        <item x="3"/>
        <item t="default"/>
      </items>
    </pivotField>
    <pivotField showAll="0"/>
    <pivotField showAll="0"/>
    <pivotField numFmtId="164"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Fields count="1">
    <field x="-2"/>
  </colFields>
  <colItems count="2">
    <i>
      <x/>
    </i>
    <i i="1">
      <x v="1"/>
    </i>
  </colItems>
  <dataFields count="2">
    <dataField name="Average of Rrating" fld="7" subtotal="average" baseField="1" baseItem="0"/>
    <dataField name="Average of Features_Count" fld="8" subtotal="average" baseField="1" baseItem="0"/>
  </dataFields>
  <formats count="14">
    <format dxfId="41">
      <pivotArea collapsedLevelsAreSubtotals="1" fieldPosition="0">
        <references count="1">
          <reference field="1" count="1">
            <x v="2"/>
          </reference>
        </references>
      </pivotArea>
    </format>
    <format dxfId="40">
      <pivotArea collapsedLevelsAreSubtotals="1" fieldPosition="0">
        <references count="1">
          <reference field="1" count="1">
            <x v="4"/>
          </reference>
        </references>
      </pivotArea>
    </format>
    <format dxfId="39">
      <pivotArea collapsedLevelsAreSubtotals="1" fieldPosition="0">
        <references count="1">
          <reference field="1" count="1">
            <x v="6"/>
          </reference>
        </references>
      </pivotArea>
    </format>
    <format dxfId="38">
      <pivotArea collapsedLevelsAreSubtotals="1" fieldPosition="0">
        <references count="1">
          <reference field="1" count="1">
            <x v="7"/>
          </reference>
        </references>
      </pivotArea>
    </format>
    <format dxfId="37">
      <pivotArea collapsedLevelsAreSubtotals="1" fieldPosition="0">
        <references count="1">
          <reference field="1" count="1">
            <x v="8"/>
          </reference>
        </references>
      </pivotArea>
    </format>
    <format dxfId="36">
      <pivotArea collapsedLevelsAreSubtotals="1" fieldPosition="0">
        <references count="1">
          <reference field="1" count="1">
            <x v="9"/>
          </reference>
        </references>
      </pivotArea>
    </format>
    <format dxfId="35">
      <pivotArea collapsedLevelsAreSubtotals="1" fieldPosition="0">
        <references count="1">
          <reference field="1" count="1">
            <x v="10"/>
          </reference>
        </references>
      </pivotArea>
    </format>
    <format dxfId="34">
      <pivotArea collapsedLevelsAreSubtotals="1" fieldPosition="0">
        <references count="1">
          <reference field="1" count="1">
            <x v="11"/>
          </reference>
        </references>
      </pivotArea>
    </format>
    <format dxfId="33">
      <pivotArea collapsedLevelsAreSubtotals="1" fieldPosition="0">
        <references count="1">
          <reference field="1" count="1">
            <x v="17"/>
          </reference>
        </references>
      </pivotArea>
    </format>
    <format dxfId="32">
      <pivotArea collapsedLevelsAreSubtotals="1" fieldPosition="0">
        <references count="1">
          <reference field="1" count="1">
            <x v="19"/>
          </reference>
        </references>
      </pivotArea>
    </format>
    <format dxfId="31">
      <pivotArea collapsedLevelsAreSubtotals="1" fieldPosition="0">
        <references count="1">
          <reference field="1" count="1">
            <x v="22"/>
          </reference>
        </references>
      </pivotArea>
    </format>
    <format dxfId="30">
      <pivotArea collapsedLevelsAreSubtotals="1" fieldPosition="0">
        <references count="1">
          <reference field="1" count="1">
            <x v="24"/>
          </reference>
        </references>
      </pivotArea>
    </format>
    <format dxfId="29">
      <pivotArea grandRow="1" outline="0" collapsedLevelsAreSubtotals="1" fieldPosition="0"/>
    </format>
    <format dxfId="28">
      <pivotArea outline="0" collapsedLevelsAreSubtotals="1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AB0B1-89F2-4D51-A1D6-D0D9E0148066}" name="PivotTable8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I3:I4" firstHeaderRow="1" firstDataRow="1" firstDataCol="0"/>
  <pivotFields count="14">
    <pivotField showAll="0"/>
    <pivotField showAll="0" sortType="ascending"/>
    <pivotField showAll="0"/>
    <pivotField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Rrating" fld="7" subtotal="average" baseField="0" baseItem="0" numFmtId="2"/>
  </dataFields>
  <formats count="1">
    <format dxfId="42">
      <pivotArea outline="0" collapsedLevelsAreSubtotals="1" fieldPosition="0"/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46DBA-1726-4E85-85F4-401CA0BF2170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11:I12" firstHeaderRow="1" firstDataRow="1" firstDataCol="0"/>
  <pivotFields count="14">
    <pivotField dataField="1" showAll="0"/>
    <pivotField showAll="0" sortType="ascending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Tool_Name" fld="0" subtotal="count" baseField="10" baseItem="0"/>
  </dataField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9F03D-0FE7-4460-8302-3AE836DD19C8}" name="PivotTable27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Category">
  <location ref="D98:E123" firstHeaderRow="1" firstDataRow="1" firstDataCol="1"/>
  <pivotFields count="14">
    <pivotField showAll="0">
      <items count="263">
        <item x="66"/>
        <item x="144"/>
        <item x="233"/>
        <item x="83"/>
        <item x="253"/>
        <item x="38"/>
        <item x="157"/>
        <item x="92"/>
        <item x="93"/>
        <item x="203"/>
        <item x="89"/>
        <item x="91"/>
        <item x="181"/>
        <item x="13"/>
        <item x="110"/>
        <item x="240"/>
        <item x="2"/>
        <item x="35"/>
        <item x="42"/>
        <item x="6"/>
        <item x="207"/>
        <item x="46"/>
        <item x="106"/>
        <item x="236"/>
        <item x="145"/>
        <item x="84"/>
        <item x="191"/>
        <item x="108"/>
        <item x="227"/>
        <item x="39"/>
        <item x="125"/>
        <item x="52"/>
        <item x="124"/>
        <item x="49"/>
        <item x="88"/>
        <item x="182"/>
        <item x="211"/>
        <item x="34"/>
        <item x="59"/>
        <item x="196"/>
        <item x="226"/>
        <item x="139"/>
        <item x="140"/>
        <item x="218"/>
        <item x="134"/>
        <item x="1"/>
        <item x="25"/>
        <item x="70"/>
        <item x="16"/>
        <item x="165"/>
        <item x="259"/>
        <item x="258"/>
        <item x="241"/>
        <item x="252"/>
        <item x="254"/>
        <item x="249"/>
        <item x="199"/>
        <item x="44"/>
        <item x="26"/>
        <item x="180"/>
        <item x="138"/>
        <item x="237"/>
        <item x="234"/>
        <item x="164"/>
        <item x="153"/>
        <item x="155"/>
        <item x="147"/>
        <item x="257"/>
        <item x="255"/>
        <item x="137"/>
        <item x="210"/>
        <item x="222"/>
        <item x="126"/>
        <item x="71"/>
        <item x="41"/>
        <item x="63"/>
        <item x="245"/>
        <item x="166"/>
        <item x="200"/>
        <item x="150"/>
        <item x="87"/>
        <item x="205"/>
        <item x="51"/>
        <item x="77"/>
        <item x="33"/>
        <item x="58"/>
        <item x="107"/>
        <item x="101"/>
        <item x="24"/>
        <item x="208"/>
        <item x="219"/>
        <item x="216"/>
        <item x="43"/>
        <item x="60"/>
        <item x="163"/>
        <item x="242"/>
        <item x="141"/>
        <item x="115"/>
        <item x="120"/>
        <item x="217"/>
        <item x="143"/>
        <item x="215"/>
        <item x="220"/>
        <item x="109"/>
        <item x="10"/>
        <item x="80"/>
        <item x="160"/>
        <item x="11"/>
        <item x="131"/>
        <item x="72"/>
        <item x="21"/>
        <item x="132"/>
        <item x="172"/>
        <item x="112"/>
        <item x="183"/>
        <item x="27"/>
        <item x="224"/>
        <item x="247"/>
        <item x="213"/>
        <item x="142"/>
        <item x="5"/>
        <item x="105"/>
        <item x="28"/>
        <item x="74"/>
        <item x="37"/>
        <item x="40"/>
        <item x="184"/>
        <item x="248"/>
        <item x="146"/>
        <item x="260"/>
        <item x="158"/>
        <item x="31"/>
        <item x="9"/>
        <item x="82"/>
        <item x="121"/>
        <item x="118"/>
        <item x="53"/>
        <item x="185"/>
        <item x="187"/>
        <item x="94"/>
        <item x="36"/>
        <item x="45"/>
        <item x="135"/>
        <item x="170"/>
        <item x="111"/>
        <item x="206"/>
        <item x="197"/>
        <item x="116"/>
        <item x="154"/>
        <item x="15"/>
        <item x="32"/>
        <item x="3"/>
        <item x="48"/>
        <item x="167"/>
        <item x="169"/>
        <item x="85"/>
        <item x="243"/>
        <item x="76"/>
        <item x="18"/>
        <item x="148"/>
        <item x="149"/>
        <item x="0"/>
        <item x="174"/>
        <item x="30"/>
        <item x="214"/>
        <item x="47"/>
        <item x="221"/>
        <item x="204"/>
        <item x="113"/>
        <item x="171"/>
        <item x="194"/>
        <item x="162"/>
        <item x="235"/>
        <item x="22"/>
        <item x="96"/>
        <item x="168"/>
        <item x="95"/>
        <item x="152"/>
        <item x="179"/>
        <item x="99"/>
        <item x="177"/>
        <item x="78"/>
        <item x="223"/>
        <item x="188"/>
        <item x="79"/>
        <item x="190"/>
        <item x="128"/>
        <item x="122"/>
        <item x="161"/>
        <item x="175"/>
        <item x="104"/>
        <item x="20"/>
        <item x="244"/>
        <item x="50"/>
        <item x="61"/>
        <item x="17"/>
        <item x="73"/>
        <item x="90"/>
        <item x="127"/>
        <item x="12"/>
        <item x="231"/>
        <item x="232"/>
        <item x="97"/>
        <item x="56"/>
        <item x="156"/>
        <item x="29"/>
        <item x="65"/>
        <item x="178"/>
        <item x="129"/>
        <item x="201"/>
        <item x="67"/>
        <item x="230"/>
        <item x="151"/>
        <item x="159"/>
        <item x="189"/>
        <item x="8"/>
        <item x="225"/>
        <item x="133"/>
        <item x="14"/>
        <item x="246"/>
        <item x="250"/>
        <item x="209"/>
        <item x="186"/>
        <item x="238"/>
        <item x="4"/>
        <item x="261"/>
        <item x="136"/>
        <item x="68"/>
        <item x="202"/>
        <item x="69"/>
        <item x="192"/>
        <item x="75"/>
        <item x="212"/>
        <item x="228"/>
        <item x="123"/>
        <item x="81"/>
        <item x="102"/>
        <item x="119"/>
        <item x="57"/>
        <item x="64"/>
        <item x="62"/>
        <item x="117"/>
        <item x="98"/>
        <item x="229"/>
        <item x="193"/>
        <item x="55"/>
        <item x="54"/>
        <item x="176"/>
        <item x="86"/>
        <item x="7"/>
        <item x="173"/>
        <item x="239"/>
        <item x="100"/>
        <item x="198"/>
        <item x="195"/>
        <item x="130"/>
        <item x="251"/>
        <item x="256"/>
        <item x="103"/>
        <item x="23"/>
        <item x="19"/>
        <item x="114"/>
        <item t="default"/>
      </items>
    </pivotField>
    <pivotField axis="axisRow" showAll="0">
      <items count="26">
        <item x="6"/>
        <item x="16"/>
        <item x="18"/>
        <item x="14"/>
        <item x="12"/>
        <item x="17"/>
        <item x="13"/>
        <item x="15"/>
        <item x="9"/>
        <item x="4"/>
        <item x="1"/>
        <item x="20"/>
        <item x="23"/>
        <item x="22"/>
        <item x="21"/>
        <item x="19"/>
        <item x="24"/>
        <item x="5"/>
        <item x="2"/>
        <item x="8"/>
        <item x="10"/>
        <item x="0"/>
        <item x="7"/>
        <item x="1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ataField="1" numFmtId="2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Average of Value Score" fld="13" subtotal="average" baseField="1" baseItem="0" numFmtId="2"/>
  </dataFields>
  <formats count="4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D589A-A2E4-4A20-B0F9-18C8FFDEB4E1}" name="PivotTable26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Category">
  <location ref="C64:E89" firstHeaderRow="0" firstDataRow="1" firstDataCol="1"/>
  <pivotFields count="14">
    <pivotField showAll="0">
      <items count="263">
        <item x="66"/>
        <item x="144"/>
        <item x="233"/>
        <item x="83"/>
        <item x="253"/>
        <item x="38"/>
        <item x="157"/>
        <item x="92"/>
        <item x="93"/>
        <item x="203"/>
        <item x="89"/>
        <item x="91"/>
        <item x="181"/>
        <item x="13"/>
        <item x="110"/>
        <item x="240"/>
        <item x="2"/>
        <item x="35"/>
        <item x="42"/>
        <item x="6"/>
        <item x="207"/>
        <item x="46"/>
        <item x="106"/>
        <item x="236"/>
        <item x="145"/>
        <item x="84"/>
        <item x="191"/>
        <item x="108"/>
        <item x="227"/>
        <item x="39"/>
        <item x="125"/>
        <item x="52"/>
        <item x="124"/>
        <item x="49"/>
        <item x="88"/>
        <item x="182"/>
        <item x="211"/>
        <item x="34"/>
        <item x="59"/>
        <item x="196"/>
        <item x="226"/>
        <item x="139"/>
        <item x="140"/>
        <item x="218"/>
        <item x="134"/>
        <item x="1"/>
        <item x="25"/>
        <item x="70"/>
        <item x="16"/>
        <item x="165"/>
        <item x="259"/>
        <item x="258"/>
        <item x="241"/>
        <item x="252"/>
        <item x="254"/>
        <item x="249"/>
        <item x="199"/>
        <item x="44"/>
        <item x="26"/>
        <item x="180"/>
        <item x="138"/>
        <item x="237"/>
        <item x="234"/>
        <item x="164"/>
        <item x="153"/>
        <item x="155"/>
        <item x="147"/>
        <item x="257"/>
        <item x="255"/>
        <item x="137"/>
        <item x="210"/>
        <item x="222"/>
        <item x="126"/>
        <item x="71"/>
        <item x="41"/>
        <item x="63"/>
        <item x="245"/>
        <item x="166"/>
        <item x="200"/>
        <item x="150"/>
        <item x="87"/>
        <item x="205"/>
        <item x="51"/>
        <item x="77"/>
        <item x="33"/>
        <item x="58"/>
        <item x="107"/>
        <item x="101"/>
        <item x="24"/>
        <item x="208"/>
        <item x="219"/>
        <item x="216"/>
        <item x="43"/>
        <item x="60"/>
        <item x="163"/>
        <item x="242"/>
        <item x="141"/>
        <item x="115"/>
        <item x="120"/>
        <item x="217"/>
        <item x="143"/>
        <item x="215"/>
        <item x="220"/>
        <item x="109"/>
        <item x="10"/>
        <item x="80"/>
        <item x="160"/>
        <item x="11"/>
        <item x="131"/>
        <item x="72"/>
        <item x="21"/>
        <item x="132"/>
        <item x="172"/>
        <item x="112"/>
        <item x="183"/>
        <item x="27"/>
        <item x="224"/>
        <item x="247"/>
        <item x="213"/>
        <item x="142"/>
        <item x="5"/>
        <item x="105"/>
        <item x="28"/>
        <item x="74"/>
        <item x="37"/>
        <item x="40"/>
        <item x="184"/>
        <item x="248"/>
        <item x="146"/>
        <item x="260"/>
        <item x="158"/>
        <item x="31"/>
        <item x="9"/>
        <item x="82"/>
        <item x="121"/>
        <item x="118"/>
        <item x="53"/>
        <item x="185"/>
        <item x="187"/>
        <item x="94"/>
        <item x="36"/>
        <item x="45"/>
        <item x="135"/>
        <item x="170"/>
        <item x="111"/>
        <item x="206"/>
        <item x="197"/>
        <item x="116"/>
        <item x="154"/>
        <item x="15"/>
        <item x="32"/>
        <item x="3"/>
        <item x="48"/>
        <item x="167"/>
        <item x="169"/>
        <item x="85"/>
        <item x="243"/>
        <item x="76"/>
        <item x="18"/>
        <item x="148"/>
        <item x="149"/>
        <item x="0"/>
        <item x="174"/>
        <item x="30"/>
        <item x="214"/>
        <item x="47"/>
        <item x="221"/>
        <item x="204"/>
        <item x="113"/>
        <item x="171"/>
        <item x="194"/>
        <item x="162"/>
        <item x="235"/>
        <item x="22"/>
        <item x="96"/>
        <item x="168"/>
        <item x="95"/>
        <item x="152"/>
        <item x="179"/>
        <item x="99"/>
        <item x="177"/>
        <item x="78"/>
        <item x="223"/>
        <item x="188"/>
        <item x="79"/>
        <item x="190"/>
        <item x="128"/>
        <item x="122"/>
        <item x="161"/>
        <item x="175"/>
        <item x="104"/>
        <item x="20"/>
        <item x="244"/>
        <item x="50"/>
        <item x="61"/>
        <item x="17"/>
        <item x="73"/>
        <item x="90"/>
        <item x="127"/>
        <item x="12"/>
        <item x="231"/>
        <item x="232"/>
        <item x="97"/>
        <item x="56"/>
        <item x="156"/>
        <item x="29"/>
        <item x="65"/>
        <item x="178"/>
        <item x="129"/>
        <item x="201"/>
        <item x="67"/>
        <item x="230"/>
        <item x="151"/>
        <item x="159"/>
        <item x="189"/>
        <item x="8"/>
        <item x="225"/>
        <item x="133"/>
        <item x="14"/>
        <item x="246"/>
        <item x="250"/>
        <item x="209"/>
        <item x="186"/>
        <item x="238"/>
        <item x="4"/>
        <item x="261"/>
        <item x="136"/>
        <item x="68"/>
        <item x="202"/>
        <item x="69"/>
        <item x="192"/>
        <item x="75"/>
        <item x="212"/>
        <item x="228"/>
        <item x="123"/>
        <item x="81"/>
        <item x="102"/>
        <item x="119"/>
        <item x="57"/>
        <item x="64"/>
        <item x="62"/>
        <item x="117"/>
        <item x="98"/>
        <item x="229"/>
        <item x="193"/>
        <item x="55"/>
        <item x="54"/>
        <item x="176"/>
        <item x="86"/>
        <item x="7"/>
        <item x="173"/>
        <item x="239"/>
        <item x="100"/>
        <item x="198"/>
        <item x="195"/>
        <item x="130"/>
        <item x="251"/>
        <item x="256"/>
        <item x="103"/>
        <item x="23"/>
        <item x="19"/>
        <item x="114"/>
        <item t="default"/>
      </items>
    </pivotField>
    <pivotField axis="axisRow" showAll="0">
      <items count="26">
        <item x="6"/>
        <item x="16"/>
        <item x="18"/>
        <item x="14"/>
        <item x="12"/>
        <item x="17"/>
        <item x="13"/>
        <item x="15"/>
        <item x="9"/>
        <item x="4"/>
        <item x="1"/>
        <item x="20"/>
        <item x="23"/>
        <item x="22"/>
        <item x="21"/>
        <item x="19"/>
        <item x="24"/>
        <item x="5"/>
        <item x="2"/>
        <item x="8"/>
        <item x="10"/>
        <item x="0"/>
        <item x="7"/>
        <item x="1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numFmtId="164" showAll="0"/>
    <pivotField showAll="0"/>
    <pivotField dataField="1"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numFmtId="2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Fields count="1">
    <field x="-2"/>
  </colFields>
  <colItems count="2">
    <i>
      <x/>
    </i>
    <i i="1">
      <x v="1"/>
    </i>
  </colItems>
  <dataFields count="2">
    <dataField name="Average of Rrating" fld="7" subtotal="average" baseField="1" baseItem="0" numFmtId="2"/>
    <dataField name="Average of Features_Count" fld="8" subtotal="average" baseField="1" baseItem="0" numFmtId="2"/>
  </dataFields>
  <formats count="7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3B022-8D42-412E-9CA0-42A77EAFCDA0}" name="PivotTable25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Rating Level">
  <location ref="C50:E53" firstHeaderRow="0" firstDataRow="1" firstDataCol="1"/>
  <pivotFields count="14">
    <pivotField showAll="0">
      <items count="263">
        <item x="66"/>
        <item x="144"/>
        <item x="233"/>
        <item x="83"/>
        <item x="253"/>
        <item x="38"/>
        <item x="157"/>
        <item x="92"/>
        <item x="93"/>
        <item x="203"/>
        <item x="89"/>
        <item x="91"/>
        <item x="181"/>
        <item x="13"/>
        <item x="110"/>
        <item x="240"/>
        <item x="2"/>
        <item x="35"/>
        <item x="42"/>
        <item x="6"/>
        <item x="207"/>
        <item x="46"/>
        <item x="106"/>
        <item x="236"/>
        <item x="145"/>
        <item x="84"/>
        <item x="191"/>
        <item x="108"/>
        <item x="227"/>
        <item x="39"/>
        <item x="125"/>
        <item x="52"/>
        <item x="124"/>
        <item x="49"/>
        <item x="88"/>
        <item x="182"/>
        <item x="211"/>
        <item x="34"/>
        <item x="59"/>
        <item x="196"/>
        <item x="226"/>
        <item x="139"/>
        <item x="140"/>
        <item x="218"/>
        <item x="134"/>
        <item x="1"/>
        <item x="25"/>
        <item x="70"/>
        <item x="16"/>
        <item x="165"/>
        <item x="259"/>
        <item x="258"/>
        <item x="241"/>
        <item x="252"/>
        <item x="254"/>
        <item x="249"/>
        <item x="199"/>
        <item x="44"/>
        <item x="26"/>
        <item x="180"/>
        <item x="138"/>
        <item x="237"/>
        <item x="234"/>
        <item x="164"/>
        <item x="153"/>
        <item x="155"/>
        <item x="147"/>
        <item x="257"/>
        <item x="255"/>
        <item x="137"/>
        <item x="210"/>
        <item x="222"/>
        <item x="126"/>
        <item x="71"/>
        <item x="41"/>
        <item x="63"/>
        <item x="245"/>
        <item x="166"/>
        <item x="200"/>
        <item x="150"/>
        <item x="87"/>
        <item x="205"/>
        <item x="51"/>
        <item x="77"/>
        <item x="33"/>
        <item x="58"/>
        <item x="107"/>
        <item x="101"/>
        <item x="24"/>
        <item x="208"/>
        <item x="219"/>
        <item x="216"/>
        <item x="43"/>
        <item x="60"/>
        <item x="163"/>
        <item x="242"/>
        <item x="141"/>
        <item x="115"/>
        <item x="120"/>
        <item x="217"/>
        <item x="143"/>
        <item x="215"/>
        <item x="220"/>
        <item x="109"/>
        <item x="10"/>
        <item x="80"/>
        <item x="160"/>
        <item x="11"/>
        <item x="131"/>
        <item x="72"/>
        <item x="21"/>
        <item x="132"/>
        <item x="172"/>
        <item x="112"/>
        <item x="183"/>
        <item x="27"/>
        <item x="224"/>
        <item x="247"/>
        <item x="213"/>
        <item x="142"/>
        <item x="5"/>
        <item x="105"/>
        <item x="28"/>
        <item x="74"/>
        <item x="37"/>
        <item x="40"/>
        <item x="184"/>
        <item x="248"/>
        <item x="146"/>
        <item x="260"/>
        <item x="158"/>
        <item x="31"/>
        <item x="9"/>
        <item x="82"/>
        <item x="121"/>
        <item x="118"/>
        <item x="53"/>
        <item x="185"/>
        <item x="187"/>
        <item x="94"/>
        <item x="36"/>
        <item x="45"/>
        <item x="135"/>
        <item x="170"/>
        <item x="111"/>
        <item x="206"/>
        <item x="197"/>
        <item x="116"/>
        <item x="154"/>
        <item x="15"/>
        <item x="32"/>
        <item x="3"/>
        <item x="48"/>
        <item x="167"/>
        <item x="169"/>
        <item x="85"/>
        <item x="243"/>
        <item x="76"/>
        <item x="18"/>
        <item x="148"/>
        <item x="149"/>
        <item x="0"/>
        <item x="174"/>
        <item x="30"/>
        <item x="214"/>
        <item x="47"/>
        <item x="221"/>
        <item x="204"/>
        <item x="113"/>
        <item x="171"/>
        <item x="194"/>
        <item x="162"/>
        <item x="235"/>
        <item x="22"/>
        <item x="96"/>
        <item x="168"/>
        <item x="95"/>
        <item x="152"/>
        <item x="179"/>
        <item x="99"/>
        <item x="177"/>
        <item x="78"/>
        <item x="223"/>
        <item x="188"/>
        <item x="79"/>
        <item x="190"/>
        <item x="128"/>
        <item x="122"/>
        <item x="161"/>
        <item x="175"/>
        <item x="104"/>
        <item x="20"/>
        <item x="244"/>
        <item x="50"/>
        <item x="61"/>
        <item x="17"/>
        <item x="73"/>
        <item x="90"/>
        <item x="127"/>
        <item x="12"/>
        <item x="231"/>
        <item x="232"/>
        <item x="97"/>
        <item x="56"/>
        <item x="156"/>
        <item x="29"/>
        <item x="65"/>
        <item x="178"/>
        <item x="129"/>
        <item x="201"/>
        <item x="67"/>
        <item x="230"/>
        <item x="151"/>
        <item x="159"/>
        <item x="189"/>
        <item x="8"/>
        <item x="225"/>
        <item x="133"/>
        <item x="14"/>
        <item x="246"/>
        <item x="250"/>
        <item x="209"/>
        <item x="186"/>
        <item x="238"/>
        <item x="4"/>
        <item x="261"/>
        <item x="136"/>
        <item x="68"/>
        <item x="202"/>
        <item x="69"/>
        <item x="192"/>
        <item x="75"/>
        <item x="212"/>
        <item x="228"/>
        <item x="123"/>
        <item x="81"/>
        <item x="102"/>
        <item x="119"/>
        <item x="57"/>
        <item x="64"/>
        <item x="62"/>
        <item x="117"/>
        <item x="98"/>
        <item x="229"/>
        <item x="193"/>
        <item x="55"/>
        <item x="54"/>
        <item x="176"/>
        <item x="86"/>
        <item x="7"/>
        <item x="173"/>
        <item x="239"/>
        <item x="100"/>
        <item x="198"/>
        <item x="195"/>
        <item x="130"/>
        <item x="251"/>
        <item x="256"/>
        <item x="103"/>
        <item x="23"/>
        <item x="19"/>
        <item x="114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numFmtId="2"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Starting_Price_Usd" fld="4" subtotal="average" baseField="2" baseItem="1" numFmtId="164"/>
    <dataField name="Average of Highest_Plan_Price_Usd" fld="5" subtotal="average" baseField="2" baseItem="0" numFmtId="164"/>
  </dataFields>
  <formats count="1">
    <format dxfId="11">
      <pivotArea outline="0" collapsedLevelsAreSubtotals="1" fieldPosition="0"/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830FA-CEE4-45F5-ABD5-041AC2C0D98C}" name="PivotTable24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Rating Level">
  <location ref="C38:E41" firstHeaderRow="0" firstDataRow="1" firstDataCol="1"/>
  <pivotFields count="14">
    <pivotField dataField="1" showAll="0">
      <items count="263">
        <item x="66"/>
        <item x="144"/>
        <item x="233"/>
        <item x="83"/>
        <item x="253"/>
        <item x="38"/>
        <item x="157"/>
        <item x="92"/>
        <item x="93"/>
        <item x="203"/>
        <item x="89"/>
        <item x="91"/>
        <item x="181"/>
        <item x="13"/>
        <item x="110"/>
        <item x="240"/>
        <item x="2"/>
        <item x="35"/>
        <item x="42"/>
        <item x="6"/>
        <item x="207"/>
        <item x="46"/>
        <item x="106"/>
        <item x="236"/>
        <item x="145"/>
        <item x="84"/>
        <item x="191"/>
        <item x="108"/>
        <item x="227"/>
        <item x="39"/>
        <item x="125"/>
        <item x="52"/>
        <item x="124"/>
        <item x="49"/>
        <item x="88"/>
        <item x="182"/>
        <item x="211"/>
        <item x="34"/>
        <item x="59"/>
        <item x="196"/>
        <item x="226"/>
        <item x="139"/>
        <item x="140"/>
        <item x="218"/>
        <item x="134"/>
        <item x="1"/>
        <item x="25"/>
        <item x="70"/>
        <item x="16"/>
        <item x="165"/>
        <item x="259"/>
        <item x="258"/>
        <item x="241"/>
        <item x="252"/>
        <item x="254"/>
        <item x="249"/>
        <item x="199"/>
        <item x="44"/>
        <item x="26"/>
        <item x="180"/>
        <item x="138"/>
        <item x="237"/>
        <item x="234"/>
        <item x="164"/>
        <item x="153"/>
        <item x="155"/>
        <item x="147"/>
        <item x="257"/>
        <item x="255"/>
        <item x="137"/>
        <item x="210"/>
        <item x="222"/>
        <item x="126"/>
        <item x="71"/>
        <item x="41"/>
        <item x="63"/>
        <item x="245"/>
        <item x="166"/>
        <item x="200"/>
        <item x="150"/>
        <item x="87"/>
        <item x="205"/>
        <item x="51"/>
        <item x="77"/>
        <item x="33"/>
        <item x="58"/>
        <item x="107"/>
        <item x="101"/>
        <item x="24"/>
        <item x="208"/>
        <item x="219"/>
        <item x="216"/>
        <item x="43"/>
        <item x="60"/>
        <item x="163"/>
        <item x="242"/>
        <item x="141"/>
        <item x="115"/>
        <item x="120"/>
        <item x="217"/>
        <item x="143"/>
        <item x="215"/>
        <item x="220"/>
        <item x="109"/>
        <item x="10"/>
        <item x="80"/>
        <item x="160"/>
        <item x="11"/>
        <item x="131"/>
        <item x="72"/>
        <item x="21"/>
        <item x="132"/>
        <item x="172"/>
        <item x="112"/>
        <item x="183"/>
        <item x="27"/>
        <item x="224"/>
        <item x="247"/>
        <item x="213"/>
        <item x="142"/>
        <item x="5"/>
        <item x="105"/>
        <item x="28"/>
        <item x="74"/>
        <item x="37"/>
        <item x="40"/>
        <item x="184"/>
        <item x="248"/>
        <item x="146"/>
        <item x="260"/>
        <item x="158"/>
        <item x="31"/>
        <item x="9"/>
        <item x="82"/>
        <item x="121"/>
        <item x="118"/>
        <item x="53"/>
        <item x="185"/>
        <item x="187"/>
        <item x="94"/>
        <item x="36"/>
        <item x="45"/>
        <item x="135"/>
        <item x="170"/>
        <item x="111"/>
        <item x="206"/>
        <item x="197"/>
        <item x="116"/>
        <item x="154"/>
        <item x="15"/>
        <item x="32"/>
        <item x="3"/>
        <item x="48"/>
        <item x="167"/>
        <item x="169"/>
        <item x="85"/>
        <item x="243"/>
        <item x="76"/>
        <item x="18"/>
        <item x="148"/>
        <item x="149"/>
        <item x="0"/>
        <item x="174"/>
        <item x="30"/>
        <item x="214"/>
        <item x="47"/>
        <item x="221"/>
        <item x="204"/>
        <item x="113"/>
        <item x="171"/>
        <item x="194"/>
        <item x="162"/>
        <item x="235"/>
        <item x="22"/>
        <item x="96"/>
        <item x="168"/>
        <item x="95"/>
        <item x="152"/>
        <item x="179"/>
        <item x="99"/>
        <item x="177"/>
        <item x="78"/>
        <item x="223"/>
        <item x="188"/>
        <item x="79"/>
        <item x="190"/>
        <item x="128"/>
        <item x="122"/>
        <item x="161"/>
        <item x="175"/>
        <item x="104"/>
        <item x="20"/>
        <item x="244"/>
        <item x="50"/>
        <item x="61"/>
        <item x="17"/>
        <item x="73"/>
        <item x="90"/>
        <item x="127"/>
        <item x="12"/>
        <item x="231"/>
        <item x="232"/>
        <item x="97"/>
        <item x="56"/>
        <item x="156"/>
        <item x="29"/>
        <item x="65"/>
        <item x="178"/>
        <item x="129"/>
        <item x="201"/>
        <item x="67"/>
        <item x="230"/>
        <item x="151"/>
        <item x="159"/>
        <item x="189"/>
        <item x="8"/>
        <item x="225"/>
        <item x="133"/>
        <item x="14"/>
        <item x="246"/>
        <item x="250"/>
        <item x="209"/>
        <item x="186"/>
        <item x="238"/>
        <item x="4"/>
        <item x="261"/>
        <item x="136"/>
        <item x="68"/>
        <item x="202"/>
        <item x="69"/>
        <item x="192"/>
        <item x="75"/>
        <item x="212"/>
        <item x="228"/>
        <item x="123"/>
        <item x="81"/>
        <item x="102"/>
        <item x="119"/>
        <item x="57"/>
        <item x="64"/>
        <item x="62"/>
        <item x="117"/>
        <item x="98"/>
        <item x="229"/>
        <item x="193"/>
        <item x="55"/>
        <item x="54"/>
        <item x="176"/>
        <item x="86"/>
        <item x="7"/>
        <item x="173"/>
        <item x="239"/>
        <item x="100"/>
        <item x="198"/>
        <item x="195"/>
        <item x="130"/>
        <item x="251"/>
        <item x="256"/>
        <item x="103"/>
        <item x="23"/>
        <item x="19"/>
        <item x="11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2" showAll="0"/>
  </pivotFields>
  <rowFields count="1">
    <field x="1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Tools" fld="0" subtotal="count" baseField="3" baseItem="0"/>
    <dataField name="Tools in Percentage" fld="0" subtotal="count" showDataAs="percentOfTotal" baseField="3" baseItem="0" numFmtId="10"/>
  </dataFields>
  <formats count="2">
    <format dxfId="12">
      <pivotArea outline="0" collapsedLevelsAreSubtotals="1" fieldPosition="0"/>
    </format>
    <format dxfId="1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02515-F791-4F14-A9CD-6201FE700FD3}" name="PivotTable23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Free Plan">
  <location ref="C26:E28" firstHeaderRow="0" firstDataRow="1" firstDataCol="1"/>
  <pivotFields count="14">
    <pivotField dataField="1" showAll="0">
      <items count="263">
        <item x="66"/>
        <item x="144"/>
        <item x="233"/>
        <item x="83"/>
        <item x="253"/>
        <item x="38"/>
        <item x="157"/>
        <item x="92"/>
        <item x="93"/>
        <item x="203"/>
        <item x="89"/>
        <item x="91"/>
        <item x="181"/>
        <item x="13"/>
        <item x="110"/>
        <item x="240"/>
        <item x="2"/>
        <item x="35"/>
        <item x="42"/>
        <item x="6"/>
        <item x="207"/>
        <item x="46"/>
        <item x="106"/>
        <item x="236"/>
        <item x="145"/>
        <item x="84"/>
        <item x="191"/>
        <item x="108"/>
        <item x="227"/>
        <item x="39"/>
        <item x="125"/>
        <item x="52"/>
        <item x="124"/>
        <item x="49"/>
        <item x="88"/>
        <item x="182"/>
        <item x="211"/>
        <item x="34"/>
        <item x="59"/>
        <item x="196"/>
        <item x="226"/>
        <item x="139"/>
        <item x="140"/>
        <item x="218"/>
        <item x="134"/>
        <item x="1"/>
        <item x="25"/>
        <item x="70"/>
        <item x="16"/>
        <item x="165"/>
        <item x="259"/>
        <item x="258"/>
        <item x="241"/>
        <item x="252"/>
        <item x="254"/>
        <item x="249"/>
        <item x="199"/>
        <item x="44"/>
        <item x="26"/>
        <item x="180"/>
        <item x="138"/>
        <item x="237"/>
        <item x="234"/>
        <item x="164"/>
        <item x="153"/>
        <item x="155"/>
        <item x="147"/>
        <item x="257"/>
        <item x="255"/>
        <item x="137"/>
        <item x="210"/>
        <item x="222"/>
        <item x="126"/>
        <item x="71"/>
        <item x="41"/>
        <item x="63"/>
        <item x="245"/>
        <item x="166"/>
        <item x="200"/>
        <item x="150"/>
        <item x="87"/>
        <item x="205"/>
        <item x="51"/>
        <item x="77"/>
        <item x="33"/>
        <item x="58"/>
        <item x="107"/>
        <item x="101"/>
        <item x="24"/>
        <item x="208"/>
        <item x="219"/>
        <item x="216"/>
        <item x="43"/>
        <item x="60"/>
        <item x="163"/>
        <item x="242"/>
        <item x="141"/>
        <item x="115"/>
        <item x="120"/>
        <item x="217"/>
        <item x="143"/>
        <item x="215"/>
        <item x="220"/>
        <item x="109"/>
        <item x="10"/>
        <item x="80"/>
        <item x="160"/>
        <item x="11"/>
        <item x="131"/>
        <item x="72"/>
        <item x="21"/>
        <item x="132"/>
        <item x="172"/>
        <item x="112"/>
        <item x="183"/>
        <item x="27"/>
        <item x="224"/>
        <item x="247"/>
        <item x="213"/>
        <item x="142"/>
        <item x="5"/>
        <item x="105"/>
        <item x="28"/>
        <item x="74"/>
        <item x="37"/>
        <item x="40"/>
        <item x="184"/>
        <item x="248"/>
        <item x="146"/>
        <item x="260"/>
        <item x="158"/>
        <item x="31"/>
        <item x="9"/>
        <item x="82"/>
        <item x="121"/>
        <item x="118"/>
        <item x="53"/>
        <item x="185"/>
        <item x="187"/>
        <item x="94"/>
        <item x="36"/>
        <item x="45"/>
        <item x="135"/>
        <item x="170"/>
        <item x="111"/>
        <item x="206"/>
        <item x="197"/>
        <item x="116"/>
        <item x="154"/>
        <item x="15"/>
        <item x="32"/>
        <item x="3"/>
        <item x="48"/>
        <item x="167"/>
        <item x="169"/>
        <item x="85"/>
        <item x="243"/>
        <item x="76"/>
        <item x="18"/>
        <item x="148"/>
        <item x="149"/>
        <item x="0"/>
        <item x="174"/>
        <item x="30"/>
        <item x="214"/>
        <item x="47"/>
        <item x="221"/>
        <item x="204"/>
        <item x="113"/>
        <item x="171"/>
        <item x="194"/>
        <item x="162"/>
        <item x="235"/>
        <item x="22"/>
        <item x="96"/>
        <item x="168"/>
        <item x="95"/>
        <item x="152"/>
        <item x="179"/>
        <item x="99"/>
        <item x="177"/>
        <item x="78"/>
        <item x="223"/>
        <item x="188"/>
        <item x="79"/>
        <item x="190"/>
        <item x="128"/>
        <item x="122"/>
        <item x="161"/>
        <item x="175"/>
        <item x="104"/>
        <item x="20"/>
        <item x="244"/>
        <item x="50"/>
        <item x="61"/>
        <item x="17"/>
        <item x="73"/>
        <item x="90"/>
        <item x="127"/>
        <item x="12"/>
        <item x="231"/>
        <item x="232"/>
        <item x="97"/>
        <item x="56"/>
        <item x="156"/>
        <item x="29"/>
        <item x="65"/>
        <item x="178"/>
        <item x="129"/>
        <item x="201"/>
        <item x="67"/>
        <item x="230"/>
        <item x="151"/>
        <item x="159"/>
        <item x="189"/>
        <item x="8"/>
        <item x="225"/>
        <item x="133"/>
        <item x="14"/>
        <item x="246"/>
        <item x="250"/>
        <item x="209"/>
        <item x="186"/>
        <item x="238"/>
        <item x="4"/>
        <item x="261"/>
        <item x="136"/>
        <item x="68"/>
        <item x="202"/>
        <item x="69"/>
        <item x="192"/>
        <item x="75"/>
        <item x="212"/>
        <item x="228"/>
        <item x="123"/>
        <item x="81"/>
        <item x="102"/>
        <item x="119"/>
        <item x="57"/>
        <item x="64"/>
        <item x="62"/>
        <item x="117"/>
        <item x="98"/>
        <item x="229"/>
        <item x="193"/>
        <item x="55"/>
        <item x="54"/>
        <item x="176"/>
        <item x="86"/>
        <item x="7"/>
        <item x="173"/>
        <item x="239"/>
        <item x="100"/>
        <item x="198"/>
        <item x="195"/>
        <item x="130"/>
        <item x="251"/>
        <item x="256"/>
        <item x="103"/>
        <item x="23"/>
        <item x="19"/>
        <item x="11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Tools" fld="0" subtotal="count" baseField="3" baseItem="0"/>
    <dataField name="Tools in Percentage" fld="0" subtotal="count" showDataAs="percentOfTotal" baseField="3" baseItem="0" numFmtId="10"/>
  </dataFields>
  <formats count="2">
    <format dxfId="15">
      <pivotArea outline="0" collapsedLevelsAreSubtotals="1" fieldPosition="0"/>
    </format>
    <format dxfId="1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AF287-CF11-4F66-9569-A62923B584DF}" name="PivotTable22" cacheId="2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Business Segment">
  <location ref="C15:E18" firstHeaderRow="0" firstDataRow="1" firstDataCol="1"/>
  <pivotFields count="14">
    <pivotField dataField="1"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2"/>
  </rowFields>
  <rowItems count="3">
    <i>
      <x v="1"/>
    </i>
    <i>
      <x/>
    </i>
    <i>
      <x v="2"/>
    </i>
  </rowItems>
  <colFields count="1">
    <field x="-2"/>
  </colFields>
  <colItems count="2">
    <i>
      <x/>
    </i>
    <i i="1">
      <x v="1"/>
    </i>
  </colItems>
  <dataFields count="2">
    <dataField name="Total Tools" fld="0" subtotal="count" baseField="0" baseItem="0"/>
    <dataField name="Tools in Percentage" fld="0" subtotal="count" showDataAs="percentOfTotal" baseField="2" baseItem="0" numFmtId="10"/>
  </dataFields>
  <formats count="2">
    <format dxfId="17">
      <pivotArea outline="0" collapsedLevelsAreSubtotals="1" fieldPosition="0"/>
    </format>
    <format dxfId="1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54473-9422-418B-9468-B20203F08C4D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F9" firstHeaderRow="1" firstDataRow="1" firstDataCol="0"/>
  <pivotFields count="14">
    <pivotField showAll="0"/>
    <pivotField showAll="0"/>
    <pivotField showAll="0"/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Items count="1">
    <i/>
  </rowItems>
  <colItems count="1">
    <i/>
  </colItems>
  <dataFields count="1">
    <dataField name="Average of Highest Price" fld="5" subtotal="average" baseField="0" baseItem="0" numFmtId="164"/>
  </dataFields>
  <formats count="1">
    <format dxfId="19">
      <pivotArea outline="0" collapsedLevelsAreSubtotals="1" fieldPosition="0"/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7AFDB-692B-4EF9-843F-7FFDCDA9870F}" name="PivotTable17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8:E9" firstHeaderRow="1" firstDataRow="1" firstDataCol="0"/>
  <pivotFields count="14">
    <pivotField showAll="0"/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Items count="1">
    <i/>
  </rowItems>
  <colItems count="1">
    <i/>
  </colItems>
  <dataFields count="1">
    <dataField name="Average Starting Price" fld="4" subtotal="average" baseField="0" baseItem="0" numFmtId="164"/>
  </dataFields>
  <formats count="1">
    <format dxfId="20">
      <pivotArea outline="0" collapsedLevelsAreSubtotals="1" fieldPosition="0"/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85CDA-D6E5-4902-8A2D-63B7D18D0F51}" name="PivotTable16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8:D9" firstHeaderRow="1" firstDataRow="1" firstDataCol="0"/>
  <pivotFields count="14">
    <pivotField showAll="0"/>
    <pivotField showAll="0"/>
    <pivotField showAll="0"/>
    <pivotField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numFmtId="2" showAll="0"/>
  </pivotFields>
  <rowItems count="1">
    <i/>
  </rowItems>
  <colItems count="1">
    <i/>
  </colItems>
  <dataFields count="1">
    <dataField name="Average Rating" fld="7" subtotal="average" baseField="0" baseItem="0" numFmtId="2"/>
  </dataFields>
  <formats count="2">
    <format dxfId="21">
      <pivotArea outline="0" collapsedLevelsAreSubtotals="1" fieldPosition="0"/>
    </format>
    <format dxfId="18">
      <pivotArea outline="0" collapsedLevelsAreSubtotals="1" fieldPosition="0"/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ED2E1-3FD7-4F1E-B645-F4A9516EB629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C9" firstHeaderRow="1" firstDataRow="1" firstDataCol="0"/>
  <pivotFields count="14">
    <pivotField dataField="1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Items count="1">
    <i/>
  </rowItems>
  <colItems count="1">
    <i/>
  </colItems>
  <dataFields count="1">
    <dataField name="Total Tools" fld="0" subtotal="count" baseField="0" baseItem="0"/>
  </dataFields>
  <formats count="1">
    <format dxfId="22">
      <pivotArea outline="0" collapsedLevelsAreSubtotals="1" fieldPosition="0"/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A4028B-C585-4EE3-8DDB-6E8261BB6A03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E824-E26D-4CDE-9057-A526750CAB0A}">
  <dimension ref="A3:M48"/>
  <sheetViews>
    <sheetView zoomScale="55" workbookViewId="0">
      <selection activeCell="E39" sqref="E39"/>
    </sheetView>
  </sheetViews>
  <sheetFormatPr defaultRowHeight="14.4" x14ac:dyDescent="0.3"/>
  <cols>
    <col min="1" max="1" width="22.33203125" bestFit="1" customWidth="1"/>
    <col min="2" max="2" width="28.77734375" bestFit="1" customWidth="1"/>
    <col min="3" max="3" width="26.33203125" bestFit="1" customWidth="1"/>
    <col min="4" max="4" width="21.5546875" customWidth="1"/>
    <col min="5" max="5" width="22.33203125" bestFit="1" customWidth="1"/>
    <col min="6" max="6" width="26.6640625" bestFit="1" customWidth="1"/>
    <col min="7" max="7" width="43.5546875" bestFit="1" customWidth="1"/>
    <col min="8" max="8" width="9.44140625" bestFit="1" customWidth="1"/>
    <col min="9" max="9" width="47.44140625" bestFit="1" customWidth="1"/>
    <col min="10" max="10" width="4.6640625" bestFit="1" customWidth="1"/>
    <col min="11" max="11" width="13.5546875" bestFit="1" customWidth="1"/>
    <col min="12" max="12" width="28" bestFit="1" customWidth="1"/>
    <col min="13" max="13" width="25.21875" bestFit="1" customWidth="1"/>
    <col min="14" max="14" width="15.5546875" bestFit="1" customWidth="1"/>
    <col min="15" max="15" width="22.44140625" bestFit="1" customWidth="1"/>
    <col min="16" max="16" width="8.88671875" bestFit="1" customWidth="1"/>
    <col min="17" max="17" width="14.5546875" bestFit="1" customWidth="1"/>
    <col min="18" max="18" width="10.44140625" bestFit="1" customWidth="1"/>
    <col min="19" max="19" width="7.6640625" bestFit="1" customWidth="1"/>
    <col min="20" max="20" width="9.21875" bestFit="1" customWidth="1"/>
    <col min="21" max="21" width="7" bestFit="1" customWidth="1"/>
    <col min="22" max="22" width="6" bestFit="1" customWidth="1"/>
    <col min="23" max="23" width="5" bestFit="1" customWidth="1"/>
    <col min="24" max="24" width="7.21875" bestFit="1" customWidth="1"/>
    <col min="25" max="25" width="9.77734375" bestFit="1" customWidth="1"/>
    <col min="26" max="26" width="10.6640625" bestFit="1" customWidth="1"/>
    <col min="27" max="27" width="7.109375" bestFit="1" customWidth="1"/>
    <col min="28" max="28" width="6.109375" bestFit="1" customWidth="1"/>
    <col min="29" max="29" width="7.21875" bestFit="1" customWidth="1"/>
    <col min="30" max="30" width="9.44140625" bestFit="1" customWidth="1"/>
    <col min="31" max="31" width="8.21875" bestFit="1" customWidth="1"/>
    <col min="32" max="32" width="8.5546875" bestFit="1" customWidth="1"/>
    <col min="33" max="33" width="6.5546875" bestFit="1" customWidth="1"/>
    <col min="34" max="34" width="8.33203125" bestFit="1" customWidth="1"/>
    <col min="35" max="35" width="16.88671875" bestFit="1" customWidth="1"/>
    <col min="36" max="36" width="6.109375" bestFit="1" customWidth="1"/>
    <col min="37" max="37" width="10.88671875" bestFit="1" customWidth="1"/>
    <col min="38" max="38" width="18" bestFit="1" customWidth="1"/>
    <col min="39" max="39" width="16.21875" bestFit="1" customWidth="1"/>
    <col min="40" max="40" width="6.109375" bestFit="1" customWidth="1"/>
    <col min="41" max="41" width="8.109375" bestFit="1" customWidth="1"/>
    <col min="42" max="42" width="9" bestFit="1" customWidth="1"/>
    <col min="43" max="43" width="11.6640625" bestFit="1" customWidth="1"/>
    <col min="44" max="44" width="5.6640625" bestFit="1" customWidth="1"/>
    <col min="45" max="45" width="11.44140625" bestFit="1" customWidth="1"/>
    <col min="46" max="46" width="8.88671875" bestFit="1" customWidth="1"/>
    <col min="47" max="47" width="7.5546875" bestFit="1" customWidth="1"/>
    <col min="48" max="48" width="6.88671875" bestFit="1" customWidth="1"/>
    <col min="49" max="49" width="16" bestFit="1" customWidth="1"/>
    <col min="50" max="50" width="11.33203125" bestFit="1" customWidth="1"/>
    <col min="51" max="51" width="7.44140625" bestFit="1" customWidth="1"/>
    <col min="52" max="52" width="5.6640625" bestFit="1" customWidth="1"/>
    <col min="53" max="53" width="10" bestFit="1" customWidth="1"/>
    <col min="54" max="54" width="5.33203125" bestFit="1" customWidth="1"/>
    <col min="55" max="55" width="8.5546875" bestFit="1" customWidth="1"/>
    <col min="56" max="56" width="8.77734375" bestFit="1" customWidth="1"/>
    <col min="57" max="57" width="9.6640625" bestFit="1" customWidth="1"/>
    <col min="58" max="58" width="9" bestFit="1" customWidth="1"/>
    <col min="59" max="59" width="10" bestFit="1" customWidth="1"/>
    <col min="60" max="60" width="8.88671875" bestFit="1" customWidth="1"/>
    <col min="61" max="61" width="10.77734375" bestFit="1" customWidth="1"/>
    <col min="62" max="62" width="9.88671875" bestFit="1" customWidth="1"/>
    <col min="63" max="63" width="15.44140625" bestFit="1" customWidth="1"/>
    <col min="64" max="64" width="7.109375" bestFit="1" customWidth="1"/>
    <col min="65" max="65" width="10" bestFit="1" customWidth="1"/>
    <col min="66" max="66" width="9.5546875" bestFit="1" customWidth="1"/>
    <col min="67" max="67" width="6.33203125" bestFit="1" customWidth="1"/>
    <col min="68" max="68" width="12.44140625" bestFit="1" customWidth="1"/>
    <col min="69" max="69" width="6.44140625" bestFit="1" customWidth="1"/>
    <col min="70" max="70" width="10.33203125" bestFit="1" customWidth="1"/>
    <col min="71" max="71" width="7.33203125" bestFit="1" customWidth="1"/>
    <col min="72" max="72" width="8.6640625" bestFit="1" customWidth="1"/>
    <col min="73" max="73" width="7.33203125" bestFit="1" customWidth="1"/>
    <col min="74" max="74" width="5.44140625" bestFit="1" customWidth="1"/>
    <col min="75" max="75" width="6.44140625" bestFit="1" customWidth="1"/>
    <col min="76" max="76" width="8.109375" bestFit="1" customWidth="1"/>
    <col min="77" max="77" width="5.6640625" bestFit="1" customWidth="1"/>
    <col min="78" max="78" width="7.5546875" bestFit="1" customWidth="1"/>
    <col min="79" max="79" width="11.44140625" bestFit="1" customWidth="1"/>
    <col min="80" max="80" width="4.5546875" bestFit="1" customWidth="1"/>
    <col min="81" max="81" width="5.33203125" bestFit="1" customWidth="1"/>
    <col min="82" max="82" width="13.33203125" bestFit="1" customWidth="1"/>
    <col min="83" max="83" width="10" bestFit="1" customWidth="1"/>
    <col min="84" max="84" width="5.33203125" bestFit="1" customWidth="1"/>
    <col min="85" max="85" width="10.44140625" bestFit="1" customWidth="1"/>
    <col min="86" max="86" width="6.109375" bestFit="1" customWidth="1"/>
    <col min="87" max="87" width="10" bestFit="1" customWidth="1"/>
    <col min="88" max="88" width="7.5546875" bestFit="1" customWidth="1"/>
    <col min="89" max="89" width="5.5546875" bestFit="1" customWidth="1"/>
    <col min="90" max="90" width="4.5546875" bestFit="1" customWidth="1"/>
    <col min="91" max="91" width="7" bestFit="1" customWidth="1"/>
    <col min="92" max="92" width="9.21875" bestFit="1" customWidth="1"/>
    <col min="93" max="93" width="10.5546875" bestFit="1" customWidth="1"/>
    <col min="94" max="94" width="9.88671875" bestFit="1" customWidth="1"/>
    <col min="95" max="95" width="7.6640625" bestFit="1" customWidth="1"/>
    <col min="96" max="96" width="13.21875" bestFit="1" customWidth="1"/>
    <col min="97" max="97" width="15.77734375" bestFit="1" customWidth="1"/>
    <col min="98" max="98" width="11.5546875" bestFit="1" customWidth="1"/>
    <col min="99" max="99" width="5.88671875" bestFit="1" customWidth="1"/>
    <col min="100" max="100" width="13.21875" bestFit="1" customWidth="1"/>
    <col min="101" max="101" width="9.77734375" bestFit="1" customWidth="1"/>
    <col min="102" max="102" width="13.33203125" bestFit="1" customWidth="1"/>
    <col min="103" max="103" width="11.21875" bestFit="1" customWidth="1"/>
    <col min="104" max="104" width="11.88671875" bestFit="1" customWidth="1"/>
    <col min="105" max="105" width="7.109375" bestFit="1" customWidth="1"/>
    <col min="106" max="106" width="10.44140625" bestFit="1" customWidth="1"/>
    <col min="107" max="107" width="5" bestFit="1" customWidth="1"/>
    <col min="108" max="108" width="6.33203125" bestFit="1" customWidth="1"/>
    <col min="109" max="109" width="7.44140625" bestFit="1" customWidth="1"/>
    <col min="110" max="110" width="6.44140625" bestFit="1" customWidth="1"/>
    <col min="111" max="111" width="7.5546875" bestFit="1" customWidth="1"/>
    <col min="112" max="112" width="7.109375" bestFit="1" customWidth="1"/>
    <col min="113" max="113" width="4.77734375" bestFit="1" customWidth="1"/>
    <col min="114" max="114" width="9.109375" bestFit="1" customWidth="1"/>
    <col min="115" max="115" width="9" bestFit="1" customWidth="1"/>
    <col min="116" max="116" width="8.109375" bestFit="1" customWidth="1"/>
    <col min="117" max="117" width="12.21875" bestFit="1" customWidth="1"/>
    <col min="118" max="118" width="11.88671875" bestFit="1" customWidth="1"/>
    <col min="119" max="119" width="6.33203125" bestFit="1" customWidth="1"/>
    <col min="120" max="120" width="8.88671875" bestFit="1" customWidth="1"/>
    <col min="121" max="121" width="8" bestFit="1" customWidth="1"/>
    <col min="122" max="122" width="11.44140625" bestFit="1" customWidth="1"/>
    <col min="123" max="123" width="11.5546875" bestFit="1" customWidth="1"/>
    <col min="124" max="124" width="9.109375" bestFit="1" customWidth="1"/>
    <col min="125" max="125" width="6.33203125" bestFit="1" customWidth="1"/>
    <col min="126" max="126" width="3.88671875" bestFit="1" customWidth="1"/>
    <col min="127" max="127" width="7" bestFit="1" customWidth="1"/>
    <col min="128" max="128" width="5.21875" bestFit="1" customWidth="1"/>
    <col min="129" max="129" width="6.21875" bestFit="1" customWidth="1"/>
    <col min="130" max="130" width="13.77734375" bestFit="1" customWidth="1"/>
    <col min="131" max="131" width="7" bestFit="1" customWidth="1"/>
    <col min="132" max="132" width="7.109375" bestFit="1" customWidth="1"/>
    <col min="133" max="133" width="6.109375" bestFit="1" customWidth="1"/>
    <col min="134" max="134" width="8.33203125" bestFit="1" customWidth="1"/>
    <col min="135" max="135" width="6.5546875" bestFit="1" customWidth="1"/>
    <col min="136" max="136" width="10.6640625" bestFit="1" customWidth="1"/>
    <col min="137" max="137" width="16.44140625" bestFit="1" customWidth="1"/>
    <col min="138" max="138" width="6.109375" bestFit="1" customWidth="1"/>
    <col min="139" max="139" width="20" bestFit="1" customWidth="1"/>
    <col min="140" max="140" width="9.21875" bestFit="1" customWidth="1"/>
    <col min="141" max="141" width="5.5546875" bestFit="1" customWidth="1"/>
    <col min="142" max="142" width="5.88671875" bestFit="1" customWidth="1"/>
    <col min="143" max="143" width="22.44140625" bestFit="1" customWidth="1"/>
    <col min="144" max="144" width="11.44140625" bestFit="1" customWidth="1"/>
    <col min="145" max="145" width="6.77734375" bestFit="1" customWidth="1"/>
    <col min="146" max="146" width="9.88671875" bestFit="1" customWidth="1"/>
    <col min="147" max="147" width="9" bestFit="1" customWidth="1"/>
    <col min="148" max="148" width="6.77734375" bestFit="1" customWidth="1"/>
    <col min="149" max="149" width="16.33203125" bestFit="1" customWidth="1"/>
    <col min="150" max="150" width="10.109375" bestFit="1" customWidth="1"/>
    <col min="151" max="151" width="7.109375" bestFit="1" customWidth="1"/>
    <col min="152" max="152" width="15.33203125" bestFit="1" customWidth="1"/>
    <col min="153" max="153" width="14.6640625" bestFit="1" customWidth="1"/>
    <col min="154" max="154" width="10.21875" bestFit="1" customWidth="1"/>
    <col min="155" max="155" width="4.6640625" bestFit="1" customWidth="1"/>
    <col min="156" max="156" width="11.33203125" bestFit="1" customWidth="1"/>
    <col min="157" max="157" width="11.88671875" bestFit="1" customWidth="1"/>
    <col min="158" max="158" width="8.44140625" bestFit="1" customWidth="1"/>
    <col min="159" max="159" width="6.6640625" bestFit="1" customWidth="1"/>
    <col min="160" max="160" width="4.6640625" bestFit="1" customWidth="1"/>
    <col min="161" max="161" width="11.109375" bestFit="1" customWidth="1"/>
    <col min="162" max="162" width="7.21875" bestFit="1" customWidth="1"/>
    <col min="163" max="163" width="6.5546875" bestFit="1" customWidth="1"/>
    <col min="164" max="164" width="5" bestFit="1" customWidth="1"/>
    <col min="165" max="165" width="9" bestFit="1" customWidth="1"/>
    <col min="166" max="166" width="8.109375" bestFit="1" customWidth="1"/>
    <col min="167" max="167" width="6.5546875" bestFit="1" customWidth="1"/>
    <col min="168" max="168" width="8.5546875" bestFit="1" customWidth="1"/>
    <col min="169" max="169" width="8" bestFit="1" customWidth="1"/>
    <col min="170" max="170" width="11.21875" bestFit="1" customWidth="1"/>
    <col min="171" max="171" width="9.5546875" bestFit="1" customWidth="1"/>
    <col min="172" max="172" width="9.6640625" bestFit="1" customWidth="1"/>
    <col min="173" max="173" width="7.5546875" bestFit="1" customWidth="1"/>
    <col min="174" max="174" width="14.44140625" bestFit="1" customWidth="1"/>
    <col min="175" max="175" width="11.44140625" bestFit="1" customWidth="1"/>
    <col min="176" max="176" width="5.77734375" bestFit="1" customWidth="1"/>
    <col min="177" max="177" width="4.6640625" bestFit="1" customWidth="1"/>
    <col min="178" max="178" width="6.5546875" bestFit="1" customWidth="1"/>
    <col min="179" max="179" width="9" bestFit="1" customWidth="1"/>
    <col min="180" max="180" width="4.77734375" bestFit="1" customWidth="1"/>
    <col min="181" max="181" width="7.109375" bestFit="1" customWidth="1"/>
    <col min="182" max="182" width="9.109375" bestFit="1" customWidth="1"/>
    <col min="183" max="183" width="9.44140625" bestFit="1" customWidth="1"/>
    <col min="184" max="184" width="12.109375" bestFit="1" customWidth="1"/>
    <col min="185" max="185" width="16.77734375" bestFit="1" customWidth="1"/>
    <col min="186" max="186" width="7.77734375" bestFit="1" customWidth="1"/>
    <col min="187" max="187" width="7.44140625" bestFit="1" customWidth="1"/>
    <col min="188" max="188" width="11.5546875" bestFit="1" customWidth="1"/>
    <col min="189" max="189" width="10.21875" bestFit="1" customWidth="1"/>
    <col min="190" max="190" width="6.88671875" bestFit="1" customWidth="1"/>
    <col min="191" max="191" width="8" bestFit="1" customWidth="1"/>
    <col min="192" max="192" width="10.44140625" bestFit="1" customWidth="1"/>
    <col min="193" max="193" width="12" bestFit="1" customWidth="1"/>
    <col min="194" max="194" width="7.33203125" bestFit="1" customWidth="1"/>
    <col min="195" max="195" width="4.33203125" bestFit="1" customWidth="1"/>
    <col min="196" max="196" width="27.88671875" bestFit="1" customWidth="1"/>
    <col min="197" max="197" width="9.77734375" bestFit="1" customWidth="1"/>
    <col min="198" max="198" width="9.6640625" bestFit="1" customWidth="1"/>
    <col min="199" max="199" width="6.88671875" bestFit="1" customWidth="1"/>
    <col min="200" max="200" width="7.21875" bestFit="1" customWidth="1"/>
    <col min="201" max="201" width="26.77734375" bestFit="1" customWidth="1"/>
    <col min="202" max="202" width="10" bestFit="1" customWidth="1"/>
    <col min="203" max="203" width="6.77734375" bestFit="1" customWidth="1"/>
    <col min="204" max="204" width="5.6640625" bestFit="1" customWidth="1"/>
    <col min="205" max="205" width="10.6640625" bestFit="1" customWidth="1"/>
    <col min="206" max="206" width="4.77734375" bestFit="1" customWidth="1"/>
    <col min="207" max="207" width="9.21875" bestFit="1" customWidth="1"/>
    <col min="208" max="208" width="6.33203125" bestFit="1" customWidth="1"/>
    <col min="209" max="209" width="11.88671875" bestFit="1" customWidth="1"/>
    <col min="210" max="210" width="14.21875" bestFit="1" customWidth="1"/>
    <col min="211" max="211" width="6.44140625" bestFit="1" customWidth="1"/>
    <col min="212" max="212" width="8.88671875" bestFit="1" customWidth="1"/>
    <col min="213" max="213" width="9.44140625" bestFit="1" customWidth="1"/>
    <col min="214" max="214" width="9" bestFit="1" customWidth="1"/>
    <col min="215" max="215" width="5.109375" bestFit="1" customWidth="1"/>
    <col min="216" max="216" width="5.88671875" bestFit="1" customWidth="1"/>
    <col min="217" max="217" width="9.44140625" bestFit="1" customWidth="1"/>
    <col min="218" max="218" width="8.88671875" bestFit="1" customWidth="1"/>
    <col min="219" max="219" width="9.109375" bestFit="1" customWidth="1"/>
    <col min="220" max="220" width="7.5546875" bestFit="1" customWidth="1"/>
    <col min="221" max="221" width="9.5546875" bestFit="1" customWidth="1"/>
    <col min="222" max="223" width="5.109375" bestFit="1" customWidth="1"/>
    <col min="224" max="224" width="7.109375" bestFit="1" customWidth="1"/>
    <col min="225" max="225" width="13.6640625" bestFit="1" customWidth="1"/>
    <col min="226" max="226" width="8.44140625" bestFit="1" customWidth="1"/>
    <col min="227" max="227" width="5.5546875" bestFit="1" customWidth="1"/>
    <col min="228" max="228" width="12.109375" bestFit="1" customWidth="1"/>
    <col min="229" max="229" width="10.21875" bestFit="1" customWidth="1"/>
    <col min="230" max="230" width="5.6640625" bestFit="1" customWidth="1"/>
    <col min="231" max="231" width="6.109375" bestFit="1" customWidth="1"/>
    <col min="232" max="232" width="13.77734375" bestFit="1" customWidth="1"/>
    <col min="233" max="233" width="10.33203125" bestFit="1" customWidth="1"/>
    <col min="234" max="234" width="4.88671875" bestFit="1" customWidth="1"/>
    <col min="235" max="235" width="15.109375" bestFit="1" customWidth="1"/>
    <col min="236" max="236" width="11.109375" bestFit="1" customWidth="1"/>
    <col min="237" max="237" width="6.33203125" bestFit="1" customWidth="1"/>
    <col min="238" max="238" width="7.44140625" bestFit="1" customWidth="1"/>
    <col min="239" max="239" width="9.109375" bestFit="1" customWidth="1"/>
    <col min="240" max="240" width="6" bestFit="1" customWidth="1"/>
    <col min="241" max="241" width="5" bestFit="1" customWidth="1"/>
    <col min="242" max="242" width="5.5546875" bestFit="1" customWidth="1"/>
    <col min="243" max="243" width="14.109375" bestFit="1" customWidth="1"/>
    <col min="244" max="244" width="8.21875" bestFit="1" customWidth="1"/>
    <col min="245" max="245" width="8.88671875" bestFit="1" customWidth="1"/>
    <col min="246" max="246" width="7.21875" bestFit="1" customWidth="1"/>
    <col min="247" max="247" width="8.33203125" bestFit="1" customWidth="1"/>
    <col min="248" max="248" width="9.88671875" bestFit="1" customWidth="1"/>
    <col min="249" max="249" width="8.44140625" bestFit="1" customWidth="1"/>
    <col min="250" max="250" width="17.88671875" bestFit="1" customWidth="1"/>
    <col min="251" max="251" width="4.109375" bestFit="1" customWidth="1"/>
    <col min="252" max="252" width="14.5546875" bestFit="1" customWidth="1"/>
    <col min="253" max="253" width="9.109375" bestFit="1" customWidth="1"/>
    <col min="254" max="254" width="9.5546875" bestFit="1" customWidth="1"/>
    <col min="255" max="255" width="5.88671875" bestFit="1" customWidth="1"/>
    <col min="256" max="256" width="10" bestFit="1" customWidth="1"/>
    <col min="257" max="257" width="13.44140625" bestFit="1" customWidth="1"/>
    <col min="258" max="258" width="4.77734375" bestFit="1" customWidth="1"/>
    <col min="259" max="259" width="8.44140625" bestFit="1" customWidth="1"/>
    <col min="260" max="260" width="8.33203125" bestFit="1" customWidth="1"/>
    <col min="261" max="261" width="11.5546875" bestFit="1" customWidth="1"/>
    <col min="262" max="262" width="9.21875" bestFit="1" customWidth="1"/>
    <col min="263" max="263" width="6.21875" bestFit="1" customWidth="1"/>
    <col min="264" max="264" width="10.33203125" bestFit="1" customWidth="1"/>
    <col min="265" max="265" width="8.88671875" bestFit="1" customWidth="1"/>
    <col min="266" max="266" width="12.21875" bestFit="1" customWidth="1"/>
    <col min="267" max="267" width="5.6640625" bestFit="1" customWidth="1"/>
    <col min="268" max="268" width="10.5546875" bestFit="1" customWidth="1"/>
  </cols>
  <sheetData>
    <row r="3" spans="1:13" x14ac:dyDescent="0.3">
      <c r="A3" s="9" t="s">
        <v>575</v>
      </c>
      <c r="B3" t="s">
        <v>564</v>
      </c>
      <c r="E3" s="9" t="s">
        <v>563</v>
      </c>
      <c r="F3" t="s">
        <v>572</v>
      </c>
      <c r="G3" t="s">
        <v>573</v>
      </c>
      <c r="I3" t="s">
        <v>576</v>
      </c>
      <c r="L3" s="9" t="s">
        <v>563</v>
      </c>
      <c r="M3" t="s">
        <v>576</v>
      </c>
    </row>
    <row r="4" spans="1:13" x14ac:dyDescent="0.3">
      <c r="A4" s="10" t="s">
        <v>291</v>
      </c>
      <c r="B4">
        <v>84</v>
      </c>
      <c r="E4" s="10" t="s">
        <v>291</v>
      </c>
      <c r="F4" s="8">
        <v>7.1546428571428571</v>
      </c>
      <c r="G4" s="8">
        <v>58.011666666666663</v>
      </c>
      <c r="I4" s="12">
        <v>4.4435606060606094</v>
      </c>
      <c r="L4" s="10" t="s">
        <v>182</v>
      </c>
      <c r="M4" s="12">
        <v>4.2933333333333339</v>
      </c>
    </row>
    <row r="5" spans="1:13" x14ac:dyDescent="0.3">
      <c r="A5" s="10" t="s">
        <v>1</v>
      </c>
      <c r="B5">
        <v>151</v>
      </c>
      <c r="E5" s="10" t="s">
        <v>1</v>
      </c>
      <c r="F5" s="8">
        <v>13.2076821192053</v>
      </c>
      <c r="G5" s="8">
        <v>131.79059602649014</v>
      </c>
      <c r="L5" s="10" t="s">
        <v>192</v>
      </c>
      <c r="M5" s="12">
        <v>4.4799999999999995</v>
      </c>
    </row>
    <row r="6" spans="1:13" x14ac:dyDescent="0.3">
      <c r="A6" s="10" t="s">
        <v>157</v>
      </c>
      <c r="B6">
        <v>29</v>
      </c>
      <c r="E6" s="10" t="s">
        <v>157</v>
      </c>
      <c r="F6" s="8">
        <v>12.310344827586206</v>
      </c>
      <c r="G6" s="8">
        <v>315.22241379310339</v>
      </c>
      <c r="L6" s="10" t="s">
        <v>194</v>
      </c>
      <c r="M6" s="12">
        <v>4.5</v>
      </c>
    </row>
    <row r="7" spans="1:13" x14ac:dyDescent="0.3">
      <c r="L7" s="10" t="s">
        <v>190</v>
      </c>
      <c r="M7" s="12">
        <v>4.53</v>
      </c>
    </row>
    <row r="8" spans="1:13" x14ac:dyDescent="0.3">
      <c r="L8" s="10" t="s">
        <v>188</v>
      </c>
      <c r="M8" s="12">
        <v>4.5250000000000004</v>
      </c>
    </row>
    <row r="9" spans="1:13" x14ac:dyDescent="0.3">
      <c r="L9" s="10" t="s">
        <v>193</v>
      </c>
      <c r="M9" s="12">
        <v>4.5166666666666666</v>
      </c>
    </row>
    <row r="10" spans="1:13" x14ac:dyDescent="0.3">
      <c r="A10" s="9" t="s">
        <v>560</v>
      </c>
      <c r="B10" t="s">
        <v>564</v>
      </c>
      <c r="C10" t="s">
        <v>571</v>
      </c>
      <c r="E10" s="9" t="s">
        <v>563</v>
      </c>
      <c r="F10" t="s">
        <v>576</v>
      </c>
      <c r="G10" t="s">
        <v>574</v>
      </c>
      <c r="L10" s="10" t="s">
        <v>189</v>
      </c>
      <c r="M10" s="12">
        <v>4.5444444444444443</v>
      </c>
    </row>
    <row r="11" spans="1:13" x14ac:dyDescent="0.3">
      <c r="A11" s="10" t="s">
        <v>566</v>
      </c>
      <c r="B11">
        <v>185</v>
      </c>
      <c r="C11" s="11">
        <v>0.7007575757575758</v>
      </c>
      <c r="D11" s="11"/>
      <c r="E11" s="10" t="s">
        <v>182</v>
      </c>
      <c r="F11" s="12">
        <v>4.2933333333333339</v>
      </c>
      <c r="G11" s="12">
        <v>19</v>
      </c>
      <c r="I11" t="s">
        <v>564</v>
      </c>
      <c r="L11" s="10" t="s">
        <v>191</v>
      </c>
      <c r="M11" s="12">
        <v>4.6142857142857148</v>
      </c>
    </row>
    <row r="12" spans="1:13" x14ac:dyDescent="0.3">
      <c r="A12" s="10" t="s">
        <v>565</v>
      </c>
      <c r="B12">
        <v>79</v>
      </c>
      <c r="C12" s="11">
        <v>0.29924242424242425</v>
      </c>
      <c r="D12" s="11"/>
      <c r="E12" s="10" t="s">
        <v>192</v>
      </c>
      <c r="F12" s="12">
        <v>4.4799999999999995</v>
      </c>
      <c r="G12" s="12">
        <v>15.2</v>
      </c>
      <c r="I12">
        <v>264</v>
      </c>
      <c r="L12" s="10" t="s">
        <v>185</v>
      </c>
      <c r="M12" s="12">
        <v>4.5999999999999996</v>
      </c>
    </row>
    <row r="13" spans="1:13" x14ac:dyDescent="0.3">
      <c r="D13" s="11"/>
      <c r="E13" s="10" t="s">
        <v>194</v>
      </c>
      <c r="F13" s="12">
        <v>4.5</v>
      </c>
      <c r="G13" s="12">
        <v>17.714285714285715</v>
      </c>
      <c r="L13" s="10" t="s">
        <v>180</v>
      </c>
      <c r="M13" s="12">
        <v>4.3666666666666671</v>
      </c>
    </row>
    <row r="14" spans="1:13" x14ac:dyDescent="0.3">
      <c r="E14" s="10" t="s">
        <v>190</v>
      </c>
      <c r="F14" s="12">
        <v>4.53</v>
      </c>
      <c r="G14" s="12">
        <v>13.2</v>
      </c>
      <c r="L14" s="10" t="s">
        <v>177</v>
      </c>
      <c r="M14" s="12">
        <v>4.4333333333333336</v>
      </c>
    </row>
    <row r="15" spans="1:13" x14ac:dyDescent="0.3">
      <c r="E15" s="10" t="s">
        <v>188</v>
      </c>
      <c r="F15" s="12">
        <v>4.5250000000000004</v>
      </c>
      <c r="G15" s="12">
        <v>11.833333333333334</v>
      </c>
      <c r="L15" s="10" t="s">
        <v>196</v>
      </c>
      <c r="M15" s="12">
        <v>4.3142857142857141</v>
      </c>
    </row>
    <row r="16" spans="1:13" x14ac:dyDescent="0.3">
      <c r="A16" s="9" t="s">
        <v>559</v>
      </c>
      <c r="B16" t="s">
        <v>564</v>
      </c>
      <c r="C16" t="s">
        <v>571</v>
      </c>
      <c r="E16" s="10" t="s">
        <v>193</v>
      </c>
      <c r="F16" s="12">
        <v>4.5166666666666666</v>
      </c>
      <c r="G16" s="12">
        <v>12</v>
      </c>
      <c r="L16" s="10" t="s">
        <v>199</v>
      </c>
      <c r="M16" s="12">
        <v>4.0999999999999996</v>
      </c>
    </row>
    <row r="17" spans="1:13" x14ac:dyDescent="0.3">
      <c r="A17" s="10" t="s">
        <v>568</v>
      </c>
      <c r="B17">
        <v>148</v>
      </c>
      <c r="C17" s="11">
        <v>0.56060606060606055</v>
      </c>
      <c r="E17" s="10" t="s">
        <v>189</v>
      </c>
      <c r="F17" s="12">
        <v>4.5444444444444443</v>
      </c>
      <c r="G17" s="12">
        <v>12.888888888888889</v>
      </c>
      <c r="L17" s="10" t="s">
        <v>198</v>
      </c>
      <c r="M17" s="12">
        <v>4.4800000000000004</v>
      </c>
    </row>
    <row r="18" spans="1:13" x14ac:dyDescent="0.3">
      <c r="A18" s="10" t="s">
        <v>569</v>
      </c>
      <c r="B18">
        <v>111</v>
      </c>
      <c r="C18" s="11">
        <v>0.42045454545454547</v>
      </c>
      <c r="E18" s="10" t="s">
        <v>191</v>
      </c>
      <c r="F18" s="12">
        <v>4.6142857142857148</v>
      </c>
      <c r="G18" s="12">
        <v>13.142857142857142</v>
      </c>
      <c r="I18" t="s">
        <v>572</v>
      </c>
      <c r="L18" s="10" t="s">
        <v>197</v>
      </c>
      <c r="M18" s="12">
        <v>4.1166666666666663</v>
      </c>
    </row>
    <row r="19" spans="1:13" x14ac:dyDescent="0.3">
      <c r="A19" s="10" t="s">
        <v>567</v>
      </c>
      <c r="B19">
        <v>5</v>
      </c>
      <c r="C19" s="11">
        <v>1.893939393939394E-2</v>
      </c>
      <c r="E19" s="10" t="s">
        <v>185</v>
      </c>
      <c r="F19" s="12">
        <v>4.5999999999999996</v>
      </c>
      <c r="G19" s="12">
        <v>13.818181818181818</v>
      </c>
      <c r="I19" s="8">
        <v>11.183143939393942</v>
      </c>
      <c r="L19" s="10" t="s">
        <v>195</v>
      </c>
      <c r="M19" s="12">
        <v>4.125</v>
      </c>
    </row>
    <row r="20" spans="1:13" x14ac:dyDescent="0.3">
      <c r="E20" s="10" t="s">
        <v>180</v>
      </c>
      <c r="F20" s="12">
        <v>4.3666666666666671</v>
      </c>
      <c r="G20" s="12">
        <v>16.388888888888889</v>
      </c>
      <c r="L20" s="10" t="s">
        <v>200</v>
      </c>
      <c r="M20" s="12">
        <v>4.3499999999999996</v>
      </c>
    </row>
    <row r="21" spans="1:13" x14ac:dyDescent="0.3">
      <c r="E21" s="10" t="s">
        <v>177</v>
      </c>
      <c r="F21" s="12">
        <v>4.4333333333333336</v>
      </c>
      <c r="G21" s="12">
        <v>17.555555555555557</v>
      </c>
      <c r="L21" s="10" t="s">
        <v>181</v>
      </c>
      <c r="M21" s="12">
        <v>4.5333333333333332</v>
      </c>
    </row>
    <row r="22" spans="1:13" x14ac:dyDescent="0.3">
      <c r="E22" s="10" t="s">
        <v>196</v>
      </c>
      <c r="F22" s="12">
        <v>4.3142857142857141</v>
      </c>
      <c r="G22" s="12">
        <v>11.857142857142858</v>
      </c>
      <c r="L22" s="10" t="s">
        <v>178</v>
      </c>
      <c r="M22" s="12">
        <v>4.3849999999999998</v>
      </c>
    </row>
    <row r="23" spans="1:13" x14ac:dyDescent="0.3">
      <c r="A23" s="13" t="s">
        <v>563</v>
      </c>
      <c r="B23" t="s">
        <v>570</v>
      </c>
      <c r="E23" s="10" t="s">
        <v>199</v>
      </c>
      <c r="F23" s="12">
        <v>4.0999999999999996</v>
      </c>
      <c r="G23" s="12">
        <v>12</v>
      </c>
      <c r="L23" s="10" t="s">
        <v>184</v>
      </c>
      <c r="M23" s="12">
        <v>4.5181818181818194</v>
      </c>
    </row>
    <row r="24" spans="1:13" x14ac:dyDescent="0.3">
      <c r="A24" s="10" t="s">
        <v>176</v>
      </c>
      <c r="B24" s="12">
        <v>128.96250000000003</v>
      </c>
      <c r="E24" s="10" t="s">
        <v>198</v>
      </c>
      <c r="F24" s="12">
        <v>4.4800000000000004</v>
      </c>
      <c r="G24" s="12">
        <v>12</v>
      </c>
      <c r="I24" t="s">
        <v>573</v>
      </c>
      <c r="L24" s="10" t="s">
        <v>186</v>
      </c>
      <c r="M24" s="12">
        <v>4.5599999999999996</v>
      </c>
    </row>
    <row r="25" spans="1:13" x14ac:dyDescent="0.3">
      <c r="A25" s="10" t="s">
        <v>194</v>
      </c>
      <c r="B25" s="12">
        <v>67.407142857142858</v>
      </c>
      <c r="E25" s="10" t="s">
        <v>197</v>
      </c>
      <c r="F25" s="12">
        <v>4.1166666666666663</v>
      </c>
      <c r="G25" s="12">
        <v>12</v>
      </c>
      <c r="I25" s="8">
        <v>128.46518939393943</v>
      </c>
      <c r="L25" s="10" t="s">
        <v>176</v>
      </c>
      <c r="M25" s="12">
        <v>4.51</v>
      </c>
    </row>
    <row r="26" spans="1:13" x14ac:dyDescent="0.3">
      <c r="A26" s="10" t="s">
        <v>183</v>
      </c>
      <c r="B26" s="12">
        <v>63.032621892483391</v>
      </c>
      <c r="E26" s="10" t="s">
        <v>195</v>
      </c>
      <c r="F26" s="12">
        <v>4.125</v>
      </c>
      <c r="G26" s="12">
        <v>12</v>
      </c>
      <c r="L26" s="10" t="s">
        <v>183</v>
      </c>
      <c r="M26" s="12">
        <v>4.4750000000000005</v>
      </c>
    </row>
    <row r="27" spans="1:13" x14ac:dyDescent="0.3">
      <c r="A27" s="10" t="s">
        <v>179</v>
      </c>
      <c r="B27" s="12">
        <v>62.985493878148588</v>
      </c>
      <c r="E27" s="10" t="s">
        <v>200</v>
      </c>
      <c r="F27" s="12">
        <v>4.3499999999999996</v>
      </c>
      <c r="G27" s="12">
        <v>12</v>
      </c>
      <c r="L27" s="10" t="s">
        <v>187</v>
      </c>
      <c r="M27" s="12">
        <v>4.54</v>
      </c>
    </row>
    <row r="28" spans="1:13" x14ac:dyDescent="0.3">
      <c r="A28" s="10" t="s">
        <v>191</v>
      </c>
      <c r="B28" s="12">
        <v>60.74285714285714</v>
      </c>
      <c r="E28" s="10" t="s">
        <v>181</v>
      </c>
      <c r="F28" s="12">
        <v>4.5333333333333332</v>
      </c>
      <c r="G28" s="12">
        <v>18.600000000000001</v>
      </c>
      <c r="I28" t="s">
        <v>578</v>
      </c>
      <c r="L28" s="10" t="s">
        <v>179</v>
      </c>
      <c r="M28" s="12">
        <v>4.3684210526315788</v>
      </c>
    </row>
    <row r="29" spans="1:13" x14ac:dyDescent="0.3">
      <c r="A29" s="10" t="s">
        <v>178</v>
      </c>
      <c r="B29" s="12">
        <v>59.893461538461544</v>
      </c>
      <c r="E29" s="10" t="s">
        <v>178</v>
      </c>
      <c r="F29" s="12">
        <v>4.3849999999999998</v>
      </c>
      <c r="G29" s="12">
        <v>20</v>
      </c>
      <c r="I29">
        <v>264</v>
      </c>
    </row>
    <row r="30" spans="1:13" x14ac:dyDescent="0.3">
      <c r="A30" s="10" t="s">
        <v>190</v>
      </c>
      <c r="B30" s="12">
        <v>59.839999999999996</v>
      </c>
      <c r="E30" s="10" t="s">
        <v>184</v>
      </c>
      <c r="F30" s="12">
        <v>4.5181818181818194</v>
      </c>
      <c r="G30" s="12">
        <v>14.454545454545455</v>
      </c>
    </row>
    <row r="31" spans="1:13" x14ac:dyDescent="0.3">
      <c r="A31" s="10" t="s">
        <v>184</v>
      </c>
      <c r="B31" s="12">
        <v>54.490550437334612</v>
      </c>
      <c r="E31" s="10" t="s">
        <v>186</v>
      </c>
      <c r="F31" s="12">
        <v>4.5599999999999996</v>
      </c>
      <c r="G31" s="12">
        <v>15.2</v>
      </c>
    </row>
    <row r="32" spans="1:13" x14ac:dyDescent="0.3">
      <c r="A32" s="10" t="s">
        <v>198</v>
      </c>
      <c r="B32" s="12">
        <v>53.760000000000005</v>
      </c>
      <c r="E32" s="10" t="s">
        <v>176</v>
      </c>
      <c r="F32" s="12">
        <v>4.51</v>
      </c>
      <c r="G32" s="12">
        <v>30.1</v>
      </c>
    </row>
    <row r="33" spans="1:7" x14ac:dyDescent="0.3">
      <c r="A33" s="10" t="s">
        <v>192</v>
      </c>
      <c r="B33" s="12">
        <v>52.121904761904759</v>
      </c>
      <c r="E33" s="10" t="s">
        <v>183</v>
      </c>
      <c r="F33" s="12">
        <v>4.4750000000000005</v>
      </c>
      <c r="G33" s="12">
        <v>17.5625</v>
      </c>
    </row>
    <row r="34" spans="1:7" x14ac:dyDescent="0.3">
      <c r="A34" s="10" t="s">
        <v>186</v>
      </c>
      <c r="B34" s="12">
        <v>49.61684210526316</v>
      </c>
      <c r="E34" s="10" t="s">
        <v>187</v>
      </c>
      <c r="F34" s="12">
        <v>4.54</v>
      </c>
      <c r="G34" s="12">
        <v>12.8</v>
      </c>
    </row>
    <row r="35" spans="1:7" x14ac:dyDescent="0.3">
      <c r="A35" s="10" t="s">
        <v>195</v>
      </c>
      <c r="B35" s="12">
        <v>49.5</v>
      </c>
      <c r="E35" s="10" t="s">
        <v>179</v>
      </c>
      <c r="F35" s="12">
        <v>4.3684210526315788</v>
      </c>
      <c r="G35" s="12">
        <v>20.421052631578949</v>
      </c>
    </row>
    <row r="36" spans="1:7" x14ac:dyDescent="0.3">
      <c r="A36" s="10" t="s">
        <v>189</v>
      </c>
      <c r="B36" s="12">
        <v>49.255026455026453</v>
      </c>
    </row>
    <row r="37" spans="1:7" x14ac:dyDescent="0.3">
      <c r="A37" s="10" t="s">
        <v>199</v>
      </c>
      <c r="B37" s="12">
        <v>49.199999999999996</v>
      </c>
    </row>
    <row r="38" spans="1:7" x14ac:dyDescent="0.3">
      <c r="A38" s="10" t="s">
        <v>181</v>
      </c>
      <c r="B38" s="12">
        <v>45.428254475566824</v>
      </c>
    </row>
    <row r="39" spans="1:7" x14ac:dyDescent="0.3">
      <c r="A39" s="10" t="s">
        <v>196</v>
      </c>
      <c r="B39" s="12">
        <v>43.479659413434256</v>
      </c>
    </row>
    <row r="40" spans="1:7" x14ac:dyDescent="0.3">
      <c r="A40" s="10" t="s">
        <v>180</v>
      </c>
      <c r="B40" s="12">
        <v>42.456390502887032</v>
      </c>
    </row>
    <row r="41" spans="1:7" x14ac:dyDescent="0.3">
      <c r="A41" s="10" t="s">
        <v>197</v>
      </c>
      <c r="B41" s="12">
        <v>41.559999999999995</v>
      </c>
    </row>
    <row r="42" spans="1:7" x14ac:dyDescent="0.3">
      <c r="A42" s="10" t="s">
        <v>193</v>
      </c>
      <c r="B42" s="12">
        <v>41.446839435074729</v>
      </c>
    </row>
    <row r="43" spans="1:7" x14ac:dyDescent="0.3">
      <c r="A43" s="10" t="s">
        <v>188</v>
      </c>
      <c r="B43" s="12">
        <v>35.704452380952375</v>
      </c>
    </row>
    <row r="44" spans="1:7" x14ac:dyDescent="0.3">
      <c r="A44" s="10" t="s">
        <v>185</v>
      </c>
      <c r="B44" s="12">
        <v>34.490826446280991</v>
      </c>
    </row>
    <row r="45" spans="1:7" x14ac:dyDescent="0.3">
      <c r="A45" s="10" t="s">
        <v>182</v>
      </c>
      <c r="B45" s="12">
        <v>33.984618876219045</v>
      </c>
    </row>
    <row r="46" spans="1:7" x14ac:dyDescent="0.3">
      <c r="A46" s="10" t="s">
        <v>177</v>
      </c>
      <c r="B46" s="12">
        <v>28.344557336182337</v>
      </c>
    </row>
    <row r="47" spans="1:7" x14ac:dyDescent="0.3">
      <c r="A47" s="10" t="s">
        <v>187</v>
      </c>
      <c r="B47" s="12">
        <v>17.225479039106137</v>
      </c>
    </row>
    <row r="48" spans="1:7" x14ac:dyDescent="0.3">
      <c r="A48" s="10" t="s">
        <v>200</v>
      </c>
      <c r="B48" s="12">
        <v>0.65249999999999997</v>
      </c>
    </row>
  </sheetData>
  <sheetProtection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C554-C5C7-4F71-AAE5-E1C42CBBC63D}">
  <dimension ref="A8:H290"/>
  <sheetViews>
    <sheetView tabSelected="1" topLeftCell="A12" workbookViewId="0">
      <selection activeCell="B15" sqref="B15"/>
    </sheetView>
  </sheetViews>
  <sheetFormatPr defaultRowHeight="14.4" x14ac:dyDescent="0.3"/>
  <cols>
    <col min="1" max="1" width="11.77734375" style="18" customWidth="1"/>
    <col min="2" max="2" width="11.88671875" style="18" customWidth="1"/>
    <col min="3" max="3" width="21.6640625" style="18" bestFit="1" customWidth="1"/>
    <col min="4" max="4" width="25" style="18" bestFit="1" customWidth="1"/>
    <col min="5" max="5" width="35.44140625" style="18" customWidth="1"/>
    <col min="6" max="6" width="20.5546875" style="18" bestFit="1" customWidth="1"/>
    <col min="7" max="16384" width="8.88671875" style="18"/>
  </cols>
  <sheetData>
    <row r="8" spans="3:6" x14ac:dyDescent="0.3">
      <c r="C8" s="18" t="s">
        <v>579</v>
      </c>
      <c r="D8" s="18" t="s">
        <v>580</v>
      </c>
      <c r="E8" s="18" t="s">
        <v>581</v>
      </c>
      <c r="F8" s="18" t="s">
        <v>582</v>
      </c>
    </row>
    <row r="9" spans="3:6" x14ac:dyDescent="0.3">
      <c r="C9" s="19">
        <v>264</v>
      </c>
      <c r="D9" s="20">
        <v>4.4435606060606094</v>
      </c>
      <c r="E9" s="21">
        <v>11.183143939393942</v>
      </c>
      <c r="F9" s="21">
        <v>128.46518939393943</v>
      </c>
    </row>
    <row r="15" spans="3:6" x14ac:dyDescent="0.3">
      <c r="C15" s="9" t="s">
        <v>577</v>
      </c>
      <c r="D15" t="s">
        <v>579</v>
      </c>
      <c r="E15" t="s">
        <v>583</v>
      </c>
      <c r="F15"/>
    </row>
    <row r="16" spans="3:6" x14ac:dyDescent="0.3">
      <c r="C16" s="10" t="s">
        <v>1</v>
      </c>
      <c r="D16" s="15">
        <v>151</v>
      </c>
      <c r="E16" s="22">
        <v>0.57196969696969702</v>
      </c>
      <c r="F16"/>
    </row>
    <row r="17" spans="1:8" x14ac:dyDescent="0.3">
      <c r="C17" s="10" t="s">
        <v>291</v>
      </c>
      <c r="D17" s="15">
        <v>84</v>
      </c>
      <c r="E17" s="22">
        <v>0.31818181818181818</v>
      </c>
    </row>
    <row r="18" spans="1:8" x14ac:dyDescent="0.3">
      <c r="C18" s="10" t="s">
        <v>157</v>
      </c>
      <c r="D18" s="15">
        <v>29</v>
      </c>
      <c r="E18" s="22">
        <v>0.10984848484848485</v>
      </c>
    </row>
    <row r="19" spans="1:8" ht="16.2" customHeight="1" x14ac:dyDescent="0.3">
      <c r="C19"/>
      <c r="D19"/>
      <c r="E19"/>
    </row>
    <row r="20" spans="1:8" ht="18" x14ac:dyDescent="0.35">
      <c r="A20" s="23" t="s">
        <v>585</v>
      </c>
      <c r="F20" s="18" t="s">
        <v>597</v>
      </c>
      <c r="H20" s="23" t="s">
        <v>596</v>
      </c>
    </row>
    <row r="21" spans="1:8" ht="18" x14ac:dyDescent="0.35">
      <c r="A21" s="24" t="s">
        <v>584</v>
      </c>
      <c r="B21" s="23"/>
      <c r="C21" s="23"/>
    </row>
    <row r="22" spans="1:8" ht="18" x14ac:dyDescent="0.35">
      <c r="A22" s="24"/>
      <c r="B22" s="23"/>
      <c r="C22" s="23"/>
    </row>
    <row r="23" spans="1:8" ht="18" x14ac:dyDescent="0.35">
      <c r="B23" s="24"/>
      <c r="C23" s="23"/>
      <c r="D23" s="23"/>
    </row>
    <row r="24" spans="1:8" ht="18" x14ac:dyDescent="0.35">
      <c r="A24" s="24"/>
      <c r="B24" s="23"/>
      <c r="C24" s="23"/>
    </row>
    <row r="26" spans="1:8" x14ac:dyDescent="0.3">
      <c r="C26" s="9" t="s">
        <v>566</v>
      </c>
      <c r="D26" t="s">
        <v>579</v>
      </c>
      <c r="E26" t="s">
        <v>583</v>
      </c>
    </row>
    <row r="27" spans="1:8" x14ac:dyDescent="0.3">
      <c r="C27" s="10" t="s">
        <v>294</v>
      </c>
      <c r="D27" s="15">
        <v>79</v>
      </c>
      <c r="E27" s="22">
        <v>0.29924242424242425</v>
      </c>
    </row>
    <row r="28" spans="1:8" x14ac:dyDescent="0.3">
      <c r="C28" s="10" t="s">
        <v>293</v>
      </c>
      <c r="D28" s="15">
        <v>185</v>
      </c>
      <c r="E28" s="22">
        <v>0.7007575757575758</v>
      </c>
    </row>
    <row r="29" spans="1:8" x14ac:dyDescent="0.3">
      <c r="C29"/>
      <c r="D29"/>
      <c r="E29"/>
    </row>
    <row r="30" spans="1:8" ht="18" x14ac:dyDescent="0.35">
      <c r="A30" s="23" t="s">
        <v>586</v>
      </c>
      <c r="C30"/>
      <c r="D30"/>
      <c r="E30"/>
    </row>
    <row r="31" spans="1:8" x14ac:dyDescent="0.3">
      <c r="C31"/>
      <c r="D31"/>
      <c r="E31"/>
    </row>
    <row r="32" spans="1:8" ht="18" x14ac:dyDescent="0.35">
      <c r="A32" s="25" t="s">
        <v>587</v>
      </c>
      <c r="B32" s="23"/>
      <c r="C32" s="24"/>
      <c r="D32" s="24"/>
      <c r="E32" s="24"/>
      <c r="F32" s="23"/>
      <c r="G32" s="23"/>
    </row>
    <row r="33" spans="1:6" x14ac:dyDescent="0.3">
      <c r="C33"/>
      <c r="D33"/>
      <c r="E33"/>
    </row>
    <row r="34" spans="1:6" x14ac:dyDescent="0.3">
      <c r="C34"/>
      <c r="D34"/>
      <c r="E34"/>
    </row>
    <row r="35" spans="1:6" x14ac:dyDescent="0.3">
      <c r="C35"/>
      <c r="D35"/>
      <c r="E35"/>
    </row>
    <row r="36" spans="1:6" x14ac:dyDescent="0.3">
      <c r="C36"/>
      <c r="D36"/>
      <c r="E36"/>
    </row>
    <row r="37" spans="1:6" x14ac:dyDescent="0.3">
      <c r="C37"/>
      <c r="D37"/>
      <c r="E37"/>
    </row>
    <row r="38" spans="1:6" x14ac:dyDescent="0.3">
      <c r="C38" s="9" t="s">
        <v>559</v>
      </c>
      <c r="D38" t="s">
        <v>579</v>
      </c>
      <c r="E38" t="s">
        <v>583</v>
      </c>
    </row>
    <row r="39" spans="1:6" x14ac:dyDescent="0.3">
      <c r="C39" s="10" t="s">
        <v>567</v>
      </c>
      <c r="D39" s="15">
        <v>5</v>
      </c>
      <c r="E39" s="22">
        <v>1.893939393939394E-2</v>
      </c>
    </row>
    <row r="40" spans="1:6" x14ac:dyDescent="0.3">
      <c r="C40" s="10" t="s">
        <v>568</v>
      </c>
      <c r="D40" s="15">
        <v>148</v>
      </c>
      <c r="E40" s="22">
        <v>0.56060606060606055</v>
      </c>
    </row>
    <row r="41" spans="1:6" x14ac:dyDescent="0.3">
      <c r="C41" s="10" t="s">
        <v>569</v>
      </c>
      <c r="D41" s="15">
        <v>111</v>
      </c>
      <c r="E41" s="22">
        <v>0.42045454545454547</v>
      </c>
    </row>
    <row r="42" spans="1:6" x14ac:dyDescent="0.3">
      <c r="C42"/>
      <c r="D42"/>
      <c r="E42"/>
    </row>
    <row r="43" spans="1:6" ht="18" x14ac:dyDescent="0.35">
      <c r="A43" s="25" t="s">
        <v>589</v>
      </c>
      <c r="B43" s="23"/>
      <c r="C43" s="24"/>
      <c r="D43" s="24"/>
      <c r="E43" s="24"/>
      <c r="F43" s="23"/>
    </row>
    <row r="44" spans="1:6" ht="18" x14ac:dyDescent="0.35">
      <c r="A44" s="24" t="s">
        <v>588</v>
      </c>
      <c r="B44" s="23"/>
      <c r="C44" s="24"/>
      <c r="D44" s="24"/>
      <c r="E44" s="24"/>
      <c r="F44" s="23"/>
    </row>
    <row r="45" spans="1:6" x14ac:dyDescent="0.3">
      <c r="C45"/>
      <c r="D45"/>
      <c r="E45"/>
    </row>
    <row r="46" spans="1:6" x14ac:dyDescent="0.3">
      <c r="C46"/>
      <c r="D46"/>
      <c r="E46"/>
    </row>
    <row r="47" spans="1:6" x14ac:dyDescent="0.3">
      <c r="C47"/>
    </row>
    <row r="48" spans="1:6" x14ac:dyDescent="0.3">
      <c r="C48"/>
    </row>
    <row r="49" spans="1:5" x14ac:dyDescent="0.3">
      <c r="C49"/>
    </row>
    <row r="50" spans="1:5" x14ac:dyDescent="0.3">
      <c r="C50" s="9" t="s">
        <v>559</v>
      </c>
      <c r="D50" t="s">
        <v>572</v>
      </c>
      <c r="E50" t="s">
        <v>573</v>
      </c>
    </row>
    <row r="51" spans="1:5" x14ac:dyDescent="0.3">
      <c r="C51" s="10" t="s">
        <v>291</v>
      </c>
      <c r="D51" s="17">
        <v>7.1546428571428571</v>
      </c>
      <c r="E51" s="17">
        <v>58.011666666666663</v>
      </c>
    </row>
    <row r="52" spans="1:5" x14ac:dyDescent="0.3">
      <c r="C52" s="10" t="s">
        <v>1</v>
      </c>
      <c r="D52" s="17">
        <v>13.2076821192053</v>
      </c>
      <c r="E52" s="17">
        <v>131.79059602649014</v>
      </c>
    </row>
    <row r="53" spans="1:5" x14ac:dyDescent="0.3">
      <c r="C53" s="10" t="s">
        <v>157</v>
      </c>
      <c r="D53" s="17">
        <v>12.310344827586206</v>
      </c>
      <c r="E53" s="17">
        <v>315.22241379310339</v>
      </c>
    </row>
    <row r="54" spans="1:5" x14ac:dyDescent="0.3">
      <c r="C54"/>
      <c r="D54"/>
      <c r="E54"/>
    </row>
    <row r="55" spans="1:5" ht="18" x14ac:dyDescent="0.35">
      <c r="A55" s="25" t="s">
        <v>591</v>
      </c>
      <c r="B55" s="23"/>
      <c r="C55" s="24"/>
      <c r="D55" s="24"/>
      <c r="E55"/>
    </row>
    <row r="56" spans="1:5" ht="18" x14ac:dyDescent="0.35">
      <c r="A56" s="24" t="s">
        <v>590</v>
      </c>
      <c r="B56" s="23"/>
      <c r="C56" s="24"/>
      <c r="D56" s="24"/>
      <c r="E56"/>
    </row>
    <row r="57" spans="1:5" x14ac:dyDescent="0.3">
      <c r="C57"/>
      <c r="D57"/>
      <c r="E57"/>
    </row>
    <row r="58" spans="1:5" s="23" customFormat="1" ht="18" x14ac:dyDescent="0.35">
      <c r="A58" s="24" t="s">
        <v>592</v>
      </c>
      <c r="C58" s="24"/>
      <c r="D58" s="24"/>
      <c r="E58" s="24"/>
    </row>
    <row r="59" spans="1:5" x14ac:dyDescent="0.3">
      <c r="C59"/>
      <c r="D59"/>
      <c r="E59"/>
    </row>
    <row r="60" spans="1:5" x14ac:dyDescent="0.3">
      <c r="C60"/>
      <c r="D60"/>
      <c r="E60"/>
    </row>
    <row r="61" spans="1:5" x14ac:dyDescent="0.3">
      <c r="C61"/>
      <c r="D61"/>
      <c r="E61"/>
    </row>
    <row r="62" spans="1:5" x14ac:dyDescent="0.3">
      <c r="C62"/>
    </row>
    <row r="63" spans="1:5" x14ac:dyDescent="0.3">
      <c r="C63"/>
    </row>
    <row r="64" spans="1:5" x14ac:dyDescent="0.3">
      <c r="C64" s="27" t="s">
        <v>175</v>
      </c>
      <c r="D64" s="26" t="s">
        <v>576</v>
      </c>
      <c r="E64" s="26" t="s">
        <v>574</v>
      </c>
    </row>
    <row r="65" spans="3:5" x14ac:dyDescent="0.3">
      <c r="C65" s="26" t="s">
        <v>182</v>
      </c>
      <c r="D65" s="16">
        <v>4.2933333333333339</v>
      </c>
      <c r="E65" s="16">
        <v>19</v>
      </c>
    </row>
    <row r="66" spans="3:5" x14ac:dyDescent="0.3">
      <c r="C66" s="26" t="s">
        <v>192</v>
      </c>
      <c r="D66" s="16">
        <v>4.4799999999999995</v>
      </c>
      <c r="E66" s="16">
        <v>15.2</v>
      </c>
    </row>
    <row r="67" spans="3:5" x14ac:dyDescent="0.3">
      <c r="C67" s="26" t="s">
        <v>194</v>
      </c>
      <c r="D67" s="16">
        <v>4.5</v>
      </c>
      <c r="E67" s="16">
        <v>17.714285714285715</v>
      </c>
    </row>
    <row r="68" spans="3:5" x14ac:dyDescent="0.3">
      <c r="C68" s="26" t="s">
        <v>190</v>
      </c>
      <c r="D68" s="16">
        <v>4.53</v>
      </c>
      <c r="E68" s="16">
        <v>13.2</v>
      </c>
    </row>
    <row r="69" spans="3:5" x14ac:dyDescent="0.3">
      <c r="C69" s="26" t="s">
        <v>188</v>
      </c>
      <c r="D69" s="16">
        <v>4.5250000000000004</v>
      </c>
      <c r="E69" s="16">
        <v>11.833333333333334</v>
      </c>
    </row>
    <row r="70" spans="3:5" x14ac:dyDescent="0.3">
      <c r="C70" s="26" t="s">
        <v>193</v>
      </c>
      <c r="D70" s="16">
        <v>4.5166666666666666</v>
      </c>
      <c r="E70" s="16">
        <v>12</v>
      </c>
    </row>
    <row r="71" spans="3:5" x14ac:dyDescent="0.3">
      <c r="C71" s="26" t="s">
        <v>189</v>
      </c>
      <c r="D71" s="16">
        <v>4.5444444444444443</v>
      </c>
      <c r="E71" s="16">
        <v>12.888888888888889</v>
      </c>
    </row>
    <row r="72" spans="3:5" x14ac:dyDescent="0.3">
      <c r="C72" s="26" t="s">
        <v>191</v>
      </c>
      <c r="D72" s="16">
        <v>4.6142857142857148</v>
      </c>
      <c r="E72" s="16">
        <v>13.142857142857142</v>
      </c>
    </row>
    <row r="73" spans="3:5" x14ac:dyDescent="0.3">
      <c r="C73" s="26" t="s">
        <v>185</v>
      </c>
      <c r="D73" s="16">
        <v>4.5999999999999996</v>
      </c>
      <c r="E73" s="16">
        <v>13.818181818181818</v>
      </c>
    </row>
    <row r="74" spans="3:5" x14ac:dyDescent="0.3">
      <c r="C74" s="26" t="s">
        <v>180</v>
      </c>
      <c r="D74" s="16">
        <v>4.3666666666666671</v>
      </c>
      <c r="E74" s="16">
        <v>16.388888888888889</v>
      </c>
    </row>
    <row r="75" spans="3:5" x14ac:dyDescent="0.3">
      <c r="C75" s="26" t="s">
        <v>177</v>
      </c>
      <c r="D75" s="16">
        <v>4.4333333333333336</v>
      </c>
      <c r="E75" s="16">
        <v>17.555555555555557</v>
      </c>
    </row>
    <row r="76" spans="3:5" x14ac:dyDescent="0.3">
      <c r="C76" s="26" t="s">
        <v>196</v>
      </c>
      <c r="D76" s="16">
        <v>4.3142857142857141</v>
      </c>
      <c r="E76" s="16">
        <v>11.857142857142858</v>
      </c>
    </row>
    <row r="77" spans="3:5" x14ac:dyDescent="0.3">
      <c r="C77" s="26" t="s">
        <v>199</v>
      </c>
      <c r="D77" s="16">
        <v>4.0999999999999996</v>
      </c>
      <c r="E77" s="16">
        <v>12</v>
      </c>
    </row>
    <row r="78" spans="3:5" x14ac:dyDescent="0.3">
      <c r="C78" s="26" t="s">
        <v>198</v>
      </c>
      <c r="D78" s="16">
        <v>4.4800000000000004</v>
      </c>
      <c r="E78" s="16">
        <v>12</v>
      </c>
    </row>
    <row r="79" spans="3:5" x14ac:dyDescent="0.3">
      <c r="C79" s="26" t="s">
        <v>197</v>
      </c>
      <c r="D79" s="16">
        <v>4.1166666666666663</v>
      </c>
      <c r="E79" s="16">
        <v>12</v>
      </c>
    </row>
    <row r="80" spans="3:5" x14ac:dyDescent="0.3">
      <c r="C80" s="26" t="s">
        <v>195</v>
      </c>
      <c r="D80" s="16">
        <v>4.125</v>
      </c>
      <c r="E80" s="16">
        <v>12</v>
      </c>
    </row>
    <row r="81" spans="1:5" x14ac:dyDescent="0.3">
      <c r="C81" s="26" t="s">
        <v>200</v>
      </c>
      <c r="D81" s="16">
        <v>4.3499999999999996</v>
      </c>
      <c r="E81" s="16">
        <v>12</v>
      </c>
    </row>
    <row r="82" spans="1:5" x14ac:dyDescent="0.3">
      <c r="C82" s="26" t="s">
        <v>181</v>
      </c>
      <c r="D82" s="16">
        <v>4.5333333333333332</v>
      </c>
      <c r="E82" s="16">
        <v>18.600000000000001</v>
      </c>
    </row>
    <row r="83" spans="1:5" x14ac:dyDescent="0.3">
      <c r="C83" s="26" t="s">
        <v>178</v>
      </c>
      <c r="D83" s="16">
        <v>4.3849999999999998</v>
      </c>
      <c r="E83" s="16">
        <v>20</v>
      </c>
    </row>
    <row r="84" spans="1:5" x14ac:dyDescent="0.3">
      <c r="C84" s="26" t="s">
        <v>184</v>
      </c>
      <c r="D84" s="16">
        <v>4.5181818181818194</v>
      </c>
      <c r="E84" s="16">
        <v>14.454545454545455</v>
      </c>
    </row>
    <row r="85" spans="1:5" x14ac:dyDescent="0.3">
      <c r="C85" s="26" t="s">
        <v>186</v>
      </c>
      <c r="D85" s="16">
        <v>4.5599999999999996</v>
      </c>
      <c r="E85" s="16">
        <v>15.2</v>
      </c>
    </row>
    <row r="86" spans="1:5" x14ac:dyDescent="0.3">
      <c r="C86" s="26" t="s">
        <v>176</v>
      </c>
      <c r="D86" s="16">
        <v>4.51</v>
      </c>
      <c r="E86" s="16">
        <v>30.1</v>
      </c>
    </row>
    <row r="87" spans="1:5" x14ac:dyDescent="0.3">
      <c r="C87" s="26" t="s">
        <v>183</v>
      </c>
      <c r="D87" s="16">
        <v>4.4750000000000005</v>
      </c>
      <c r="E87" s="16">
        <v>17.5625</v>
      </c>
    </row>
    <row r="88" spans="1:5" x14ac:dyDescent="0.3">
      <c r="C88" s="26" t="s">
        <v>187</v>
      </c>
      <c r="D88" s="16">
        <v>4.54</v>
      </c>
      <c r="E88" s="16">
        <v>12.8</v>
      </c>
    </row>
    <row r="89" spans="1:5" x14ac:dyDescent="0.3">
      <c r="C89" s="26" t="s">
        <v>179</v>
      </c>
      <c r="D89" s="16">
        <v>4.3684210526315788</v>
      </c>
      <c r="E89" s="16">
        <v>20.421052631578949</v>
      </c>
    </row>
    <row r="90" spans="1:5" x14ac:dyDescent="0.3">
      <c r="C90"/>
    </row>
    <row r="91" spans="1:5" ht="18" x14ac:dyDescent="0.35">
      <c r="A91" s="25" t="s">
        <v>595</v>
      </c>
      <c r="B91" s="23"/>
      <c r="C91" s="24"/>
      <c r="D91" s="23"/>
      <c r="E91" s="23"/>
    </row>
    <row r="92" spans="1:5" ht="18" x14ac:dyDescent="0.35">
      <c r="A92" s="24" t="s">
        <v>593</v>
      </c>
      <c r="B92" s="23"/>
      <c r="C92" s="24"/>
      <c r="D92" s="23"/>
      <c r="E92" s="23"/>
    </row>
    <row r="93" spans="1:5" ht="18" x14ac:dyDescent="0.35">
      <c r="A93" s="24" t="s">
        <v>594</v>
      </c>
      <c r="B93" s="23"/>
      <c r="C93" s="24"/>
      <c r="D93" s="23"/>
      <c r="E93" s="23"/>
    </row>
    <row r="94" spans="1:5" x14ac:dyDescent="0.3">
      <c r="C94"/>
    </row>
    <row r="95" spans="1:5" x14ac:dyDescent="0.3">
      <c r="C95"/>
    </row>
    <row r="96" spans="1:5" x14ac:dyDescent="0.3">
      <c r="C96"/>
    </row>
    <row r="97" spans="3:6" x14ac:dyDescent="0.3">
      <c r="C97"/>
    </row>
    <row r="98" spans="3:6" x14ac:dyDescent="0.3">
      <c r="C98"/>
      <c r="D98" s="27" t="s">
        <v>175</v>
      </c>
      <c r="E98" s="26" t="s">
        <v>570</v>
      </c>
      <c r="F98"/>
    </row>
    <row r="99" spans="3:6" x14ac:dyDescent="0.3">
      <c r="C99"/>
      <c r="D99" s="26" t="s">
        <v>182</v>
      </c>
      <c r="E99" s="16">
        <v>33.984618876219045</v>
      </c>
      <c r="F99"/>
    </row>
    <row r="100" spans="3:6" x14ac:dyDescent="0.3">
      <c r="C100"/>
      <c r="D100" s="26" t="s">
        <v>192</v>
      </c>
      <c r="E100" s="16">
        <v>52.121904761904759</v>
      </c>
      <c r="F100"/>
    </row>
    <row r="101" spans="3:6" x14ac:dyDescent="0.3">
      <c r="C101"/>
      <c r="D101" s="26" t="s">
        <v>194</v>
      </c>
      <c r="E101" s="16">
        <v>67.407142857142858</v>
      </c>
      <c r="F101"/>
    </row>
    <row r="102" spans="3:6" x14ac:dyDescent="0.3">
      <c r="C102"/>
      <c r="D102" s="26" t="s">
        <v>190</v>
      </c>
      <c r="E102" s="16">
        <v>59.839999999999996</v>
      </c>
      <c r="F102"/>
    </row>
    <row r="103" spans="3:6" x14ac:dyDescent="0.3">
      <c r="C103"/>
      <c r="D103" s="26" t="s">
        <v>188</v>
      </c>
      <c r="E103" s="16">
        <v>35.704452380952375</v>
      </c>
      <c r="F103"/>
    </row>
    <row r="104" spans="3:6" x14ac:dyDescent="0.3">
      <c r="C104"/>
      <c r="D104" s="26" t="s">
        <v>193</v>
      </c>
      <c r="E104" s="16">
        <v>41.446839435074729</v>
      </c>
      <c r="F104"/>
    </row>
    <row r="105" spans="3:6" x14ac:dyDescent="0.3">
      <c r="C105"/>
      <c r="D105" s="26" t="s">
        <v>189</v>
      </c>
      <c r="E105" s="16">
        <v>49.255026455026453</v>
      </c>
      <c r="F105"/>
    </row>
    <row r="106" spans="3:6" x14ac:dyDescent="0.3">
      <c r="C106"/>
      <c r="D106" s="26" t="s">
        <v>191</v>
      </c>
      <c r="E106" s="16">
        <v>60.74285714285714</v>
      </c>
      <c r="F106"/>
    </row>
    <row r="107" spans="3:6" x14ac:dyDescent="0.3">
      <c r="C107"/>
      <c r="D107" s="26" t="s">
        <v>185</v>
      </c>
      <c r="E107" s="16">
        <v>34.490826446280991</v>
      </c>
      <c r="F107"/>
    </row>
    <row r="108" spans="3:6" x14ac:dyDescent="0.3">
      <c r="C108"/>
      <c r="D108" s="26" t="s">
        <v>180</v>
      </c>
      <c r="E108" s="16">
        <v>42.456390502887032</v>
      </c>
      <c r="F108"/>
    </row>
    <row r="109" spans="3:6" x14ac:dyDescent="0.3">
      <c r="C109"/>
      <c r="D109" s="26" t="s">
        <v>177</v>
      </c>
      <c r="E109" s="16">
        <v>28.344557336182337</v>
      </c>
      <c r="F109"/>
    </row>
    <row r="110" spans="3:6" x14ac:dyDescent="0.3">
      <c r="C110"/>
      <c r="D110" s="26" t="s">
        <v>196</v>
      </c>
      <c r="E110" s="16">
        <v>43.479659413434256</v>
      </c>
      <c r="F110"/>
    </row>
    <row r="111" spans="3:6" x14ac:dyDescent="0.3">
      <c r="C111"/>
      <c r="D111" s="26" t="s">
        <v>199</v>
      </c>
      <c r="E111" s="16">
        <v>49.199999999999996</v>
      </c>
      <c r="F111"/>
    </row>
    <row r="112" spans="3:6" x14ac:dyDescent="0.3">
      <c r="C112"/>
      <c r="D112" s="26" t="s">
        <v>198</v>
      </c>
      <c r="E112" s="16">
        <v>53.760000000000005</v>
      </c>
      <c r="F112"/>
    </row>
    <row r="113" spans="1:6" x14ac:dyDescent="0.3">
      <c r="C113"/>
      <c r="D113" s="26" t="s">
        <v>197</v>
      </c>
      <c r="E113" s="16">
        <v>41.559999999999995</v>
      </c>
      <c r="F113"/>
    </row>
    <row r="114" spans="1:6" x14ac:dyDescent="0.3">
      <c r="C114"/>
      <c r="D114" s="26" t="s">
        <v>195</v>
      </c>
      <c r="E114" s="16">
        <v>49.5</v>
      </c>
      <c r="F114"/>
    </row>
    <row r="115" spans="1:6" x14ac:dyDescent="0.3">
      <c r="C115"/>
      <c r="D115" s="26" t="s">
        <v>200</v>
      </c>
      <c r="E115" s="16">
        <v>0.65249999999999997</v>
      </c>
      <c r="F115"/>
    </row>
    <row r="116" spans="1:6" x14ac:dyDescent="0.3">
      <c r="C116"/>
      <c r="D116" s="26" t="s">
        <v>181</v>
      </c>
      <c r="E116" s="16">
        <v>45.428254475566824</v>
      </c>
      <c r="F116"/>
    </row>
    <row r="117" spans="1:6" x14ac:dyDescent="0.3">
      <c r="C117"/>
      <c r="D117" s="26" t="s">
        <v>178</v>
      </c>
      <c r="E117" s="16">
        <v>59.893461538461544</v>
      </c>
      <c r="F117"/>
    </row>
    <row r="118" spans="1:6" x14ac:dyDescent="0.3">
      <c r="C118"/>
      <c r="D118" s="26" t="s">
        <v>184</v>
      </c>
      <c r="E118" s="16">
        <v>54.490550437334612</v>
      </c>
      <c r="F118"/>
    </row>
    <row r="119" spans="1:6" x14ac:dyDescent="0.3">
      <c r="C119"/>
      <c r="D119" s="26" t="s">
        <v>186</v>
      </c>
      <c r="E119" s="16">
        <v>49.61684210526316</v>
      </c>
      <c r="F119"/>
    </row>
    <row r="120" spans="1:6" x14ac:dyDescent="0.3">
      <c r="C120"/>
      <c r="D120" s="26" t="s">
        <v>176</v>
      </c>
      <c r="E120" s="16">
        <v>128.96250000000003</v>
      </c>
      <c r="F120"/>
    </row>
    <row r="121" spans="1:6" x14ac:dyDescent="0.3">
      <c r="C121"/>
      <c r="D121" s="26" t="s">
        <v>183</v>
      </c>
      <c r="E121" s="16">
        <v>63.032621892483391</v>
      </c>
      <c r="F121"/>
    </row>
    <row r="122" spans="1:6" x14ac:dyDescent="0.3">
      <c r="C122"/>
      <c r="D122" s="26" t="s">
        <v>187</v>
      </c>
      <c r="E122" s="16">
        <v>17.225479039106137</v>
      </c>
      <c r="F122"/>
    </row>
    <row r="123" spans="1:6" x14ac:dyDescent="0.3">
      <c r="C123"/>
      <c r="D123" s="26" t="s">
        <v>179</v>
      </c>
      <c r="E123" s="16">
        <v>62.985493878148588</v>
      </c>
      <c r="F123"/>
    </row>
    <row r="124" spans="1:6" x14ac:dyDescent="0.3">
      <c r="C124"/>
    </row>
    <row r="125" spans="1:6" s="23" customFormat="1" ht="18" x14ac:dyDescent="0.35">
      <c r="A125" s="25" t="s">
        <v>598</v>
      </c>
      <c r="C125" s="24"/>
    </row>
    <row r="126" spans="1:6" x14ac:dyDescent="0.3">
      <c r="C126"/>
    </row>
    <row r="127" spans="1:6" s="23" customFormat="1" ht="18" x14ac:dyDescent="0.35">
      <c r="A127" s="24" t="s">
        <v>599</v>
      </c>
      <c r="C127" s="24"/>
    </row>
    <row r="128" spans="1:6" x14ac:dyDescent="0.3">
      <c r="C128"/>
    </row>
    <row r="129" spans="1:5" x14ac:dyDescent="0.3">
      <c r="C129"/>
    </row>
    <row r="130" spans="1:5" x14ac:dyDescent="0.3">
      <c r="C130"/>
    </row>
    <row r="131" spans="1:5" x14ac:dyDescent="0.3">
      <c r="C131"/>
    </row>
    <row r="132" spans="1:5" ht="18" x14ac:dyDescent="0.35">
      <c r="A132" s="24" t="s">
        <v>600</v>
      </c>
      <c r="B132" s="23"/>
      <c r="C132" s="24"/>
      <c r="D132" s="23"/>
      <c r="E132" s="23"/>
    </row>
    <row r="133" spans="1:5" ht="18" x14ac:dyDescent="0.35">
      <c r="A133" s="24" t="s">
        <v>601</v>
      </c>
      <c r="B133" s="23"/>
      <c r="C133" s="24"/>
      <c r="D133" s="23"/>
      <c r="E133" s="23"/>
    </row>
    <row r="134" spans="1:5" ht="18" x14ac:dyDescent="0.35">
      <c r="A134" s="24" t="s">
        <v>602</v>
      </c>
      <c r="B134" s="23"/>
      <c r="C134" s="24"/>
      <c r="D134" s="23"/>
      <c r="E134" s="23"/>
    </row>
    <row r="135" spans="1:5" ht="18" x14ac:dyDescent="0.35">
      <c r="A135" s="28" t="s">
        <v>603</v>
      </c>
      <c r="B135" s="23"/>
      <c r="C135" s="24"/>
      <c r="D135" s="23"/>
      <c r="E135" s="23"/>
    </row>
    <row r="136" spans="1:5" x14ac:dyDescent="0.3">
      <c r="C136"/>
    </row>
    <row r="137" spans="1:5" x14ac:dyDescent="0.3">
      <c r="C137"/>
    </row>
    <row r="138" spans="1:5" x14ac:dyDescent="0.3">
      <c r="C138"/>
    </row>
    <row r="139" spans="1:5" x14ac:dyDescent="0.3">
      <c r="C139"/>
    </row>
    <row r="140" spans="1:5" x14ac:dyDescent="0.3">
      <c r="C140"/>
    </row>
    <row r="141" spans="1:5" x14ac:dyDescent="0.3">
      <c r="C141"/>
    </row>
    <row r="142" spans="1:5" x14ac:dyDescent="0.3">
      <c r="C142"/>
    </row>
    <row r="143" spans="1:5" x14ac:dyDescent="0.3">
      <c r="C143"/>
    </row>
    <row r="144" spans="1:5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  <row r="232" spans="3:3" x14ac:dyDescent="0.3">
      <c r="C232"/>
    </row>
    <row r="233" spans="3:3" x14ac:dyDescent="0.3">
      <c r="C233"/>
    </row>
    <row r="234" spans="3:3" x14ac:dyDescent="0.3">
      <c r="C234"/>
    </row>
    <row r="235" spans="3:3" x14ac:dyDescent="0.3">
      <c r="C235"/>
    </row>
    <row r="236" spans="3:3" x14ac:dyDescent="0.3">
      <c r="C236"/>
    </row>
    <row r="237" spans="3:3" x14ac:dyDescent="0.3">
      <c r="C237"/>
    </row>
    <row r="238" spans="3:3" x14ac:dyDescent="0.3">
      <c r="C238"/>
    </row>
    <row r="239" spans="3:3" x14ac:dyDescent="0.3">
      <c r="C239"/>
    </row>
    <row r="240" spans="3:3" x14ac:dyDescent="0.3">
      <c r="C240"/>
    </row>
    <row r="241" spans="3:3" x14ac:dyDescent="0.3">
      <c r="C241"/>
    </row>
    <row r="242" spans="3:3" x14ac:dyDescent="0.3">
      <c r="C242"/>
    </row>
    <row r="243" spans="3:3" x14ac:dyDescent="0.3">
      <c r="C243"/>
    </row>
    <row r="244" spans="3:3" x14ac:dyDescent="0.3">
      <c r="C244"/>
    </row>
    <row r="245" spans="3:3" x14ac:dyDescent="0.3">
      <c r="C245"/>
    </row>
    <row r="246" spans="3:3" x14ac:dyDescent="0.3">
      <c r="C246"/>
    </row>
    <row r="247" spans="3:3" x14ac:dyDescent="0.3">
      <c r="C247"/>
    </row>
    <row r="248" spans="3:3" x14ac:dyDescent="0.3">
      <c r="C248"/>
    </row>
    <row r="249" spans="3:3" x14ac:dyDescent="0.3">
      <c r="C249"/>
    </row>
    <row r="250" spans="3:3" x14ac:dyDescent="0.3">
      <c r="C250"/>
    </row>
    <row r="251" spans="3:3" x14ac:dyDescent="0.3">
      <c r="C251"/>
    </row>
    <row r="252" spans="3:3" x14ac:dyDescent="0.3">
      <c r="C252"/>
    </row>
    <row r="253" spans="3:3" x14ac:dyDescent="0.3">
      <c r="C253"/>
    </row>
    <row r="254" spans="3:3" x14ac:dyDescent="0.3">
      <c r="C254"/>
    </row>
    <row r="255" spans="3:3" x14ac:dyDescent="0.3">
      <c r="C255"/>
    </row>
    <row r="256" spans="3:3" x14ac:dyDescent="0.3">
      <c r="C256"/>
    </row>
    <row r="257" spans="3:3" x14ac:dyDescent="0.3">
      <c r="C257"/>
    </row>
    <row r="258" spans="3:3" x14ac:dyDescent="0.3">
      <c r="C258"/>
    </row>
    <row r="259" spans="3:3" x14ac:dyDescent="0.3">
      <c r="C259"/>
    </row>
    <row r="260" spans="3:3" x14ac:dyDescent="0.3">
      <c r="C260"/>
    </row>
    <row r="261" spans="3:3" x14ac:dyDescent="0.3">
      <c r="C261"/>
    </row>
    <row r="262" spans="3:3" x14ac:dyDescent="0.3">
      <c r="C262"/>
    </row>
    <row r="263" spans="3:3" x14ac:dyDescent="0.3">
      <c r="C263"/>
    </row>
    <row r="264" spans="3:3" x14ac:dyDescent="0.3">
      <c r="C264"/>
    </row>
    <row r="265" spans="3:3" x14ac:dyDescent="0.3">
      <c r="C265"/>
    </row>
    <row r="266" spans="3:3" x14ac:dyDescent="0.3">
      <c r="C266"/>
    </row>
    <row r="267" spans="3:3" x14ac:dyDescent="0.3">
      <c r="C267"/>
    </row>
    <row r="268" spans="3:3" x14ac:dyDescent="0.3">
      <c r="C268"/>
    </row>
    <row r="269" spans="3:3" x14ac:dyDescent="0.3">
      <c r="C269"/>
    </row>
    <row r="270" spans="3:3" x14ac:dyDescent="0.3">
      <c r="C270"/>
    </row>
    <row r="271" spans="3:3" x14ac:dyDescent="0.3">
      <c r="C271"/>
    </row>
    <row r="272" spans="3:3" x14ac:dyDescent="0.3">
      <c r="C272"/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  <row r="279" spans="3:3" x14ac:dyDescent="0.3">
      <c r="C279"/>
    </row>
    <row r="280" spans="3:3" x14ac:dyDescent="0.3">
      <c r="C280"/>
    </row>
    <row r="281" spans="3:3" x14ac:dyDescent="0.3">
      <c r="C281"/>
    </row>
    <row r="282" spans="3:3" x14ac:dyDescent="0.3">
      <c r="C282"/>
    </row>
    <row r="283" spans="3:3" x14ac:dyDescent="0.3">
      <c r="C283"/>
    </row>
    <row r="284" spans="3:3" x14ac:dyDescent="0.3">
      <c r="C284"/>
    </row>
    <row r="285" spans="3:3" x14ac:dyDescent="0.3">
      <c r="C285"/>
    </row>
    <row r="286" spans="3:3" x14ac:dyDescent="0.3">
      <c r="C286"/>
    </row>
    <row r="287" spans="3:3" x14ac:dyDescent="0.3">
      <c r="C287"/>
    </row>
    <row r="288" spans="3:3" x14ac:dyDescent="0.3">
      <c r="C288"/>
    </row>
    <row r="289" spans="3:3" x14ac:dyDescent="0.3">
      <c r="C289"/>
    </row>
    <row r="290" spans="3:3" x14ac:dyDescent="0.3">
      <c r="C290"/>
    </row>
  </sheetData>
  <sheetProtection sheet="1" objects="1" scenarios="1" selectLockedCells="1" selectUnlockedCells="1"/>
  <pageMargins left="0.7" right="0.7" top="0.75" bottom="0.75" header="0.3" footer="0.3"/>
  <pageSetup orientation="portrait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BF8C-BF6A-4F42-847A-C7CA0CA72C1C}">
  <dimension ref="A1:N265"/>
  <sheetViews>
    <sheetView zoomScale="70" workbookViewId="0">
      <selection activeCell="C2" sqref="C2"/>
    </sheetView>
  </sheetViews>
  <sheetFormatPr defaultRowHeight="14.4" x14ac:dyDescent="0.3"/>
  <cols>
    <col min="1" max="1" width="28" bestFit="1" customWidth="1"/>
    <col min="2" max="2" width="21.88671875" bestFit="1" customWidth="1"/>
    <col min="3" max="3" width="20.88671875" bestFit="1" customWidth="1"/>
    <col min="4" max="4" width="12.109375" customWidth="1"/>
    <col min="5" max="5" width="22" style="5" bestFit="1" customWidth="1"/>
    <col min="6" max="6" width="28.21875" style="8" bestFit="1" customWidth="1"/>
    <col min="7" max="7" width="13.88671875" bestFit="1" customWidth="1"/>
    <col min="8" max="8" width="9.109375" bestFit="1" customWidth="1"/>
    <col min="9" max="9" width="18.88671875" bestFit="1" customWidth="1"/>
    <col min="10" max="10" width="45.44140625" bestFit="1" customWidth="1"/>
    <col min="11" max="11" width="18" bestFit="1" customWidth="1"/>
    <col min="12" max="12" width="14.77734375" bestFit="1" customWidth="1"/>
    <col min="13" max="13" width="18.21875" bestFit="1" customWidth="1"/>
    <col min="14" max="14" width="14.44140625" bestFit="1" customWidth="1"/>
  </cols>
  <sheetData>
    <row r="1" spans="1:14" ht="18" x14ac:dyDescent="0.35">
      <c r="A1" s="1" t="s">
        <v>201</v>
      </c>
      <c r="B1" s="1" t="s">
        <v>175</v>
      </c>
      <c r="C1" s="1" t="s">
        <v>577</v>
      </c>
      <c r="D1" s="1" t="s">
        <v>292</v>
      </c>
      <c r="E1" s="3" t="s">
        <v>562</v>
      </c>
      <c r="F1" s="6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558</v>
      </c>
      <c r="L1" s="1" t="s">
        <v>559</v>
      </c>
      <c r="M1" s="1" t="s">
        <v>560</v>
      </c>
      <c r="N1" s="1" t="s">
        <v>561</v>
      </c>
    </row>
    <row r="2" spans="1:14" x14ac:dyDescent="0.3">
      <c r="A2" s="2" t="s">
        <v>0</v>
      </c>
      <c r="B2" s="2" t="s">
        <v>176</v>
      </c>
      <c r="C2" s="2" t="s">
        <v>1</v>
      </c>
      <c r="D2" s="2" t="s">
        <v>293</v>
      </c>
      <c r="E2" s="4">
        <v>0</v>
      </c>
      <c r="F2" s="7">
        <v>18</v>
      </c>
      <c r="G2" s="2">
        <v>4</v>
      </c>
      <c r="H2" s="2">
        <v>4.7</v>
      </c>
      <c r="I2" s="2">
        <v>32</v>
      </c>
      <c r="J2" s="2" t="s">
        <v>300</v>
      </c>
      <c r="K2" s="2" t="str">
        <f>IF(E2=0,"Free",IF(E2&lt;=20,"Low",IF(E2&lt;=50,"Medium","High")))</f>
        <v>Free</v>
      </c>
      <c r="L2" s="2" t="str">
        <f>IF(H2&gt;=4.5,"Excellent",IF(H2&gt;=4,"Good","Average"))</f>
        <v>Excellent</v>
      </c>
      <c r="M2" s="2" t="str">
        <f>IF(TRIM(UPPER(D2))="TRUE","Free Plan","No Free Plan")</f>
        <v>Free Plan</v>
      </c>
      <c r="N2" s="14">
        <f>H2*I2/(E2+1)</f>
        <v>150.4</v>
      </c>
    </row>
    <row r="3" spans="1:14" x14ac:dyDescent="0.3">
      <c r="A3" s="2" t="s">
        <v>202</v>
      </c>
      <c r="B3" s="2" t="s">
        <v>176</v>
      </c>
      <c r="C3" s="2" t="s">
        <v>1</v>
      </c>
      <c r="D3" s="2" t="s">
        <v>293</v>
      </c>
      <c r="E3" s="4">
        <v>0</v>
      </c>
      <c r="F3" s="7">
        <v>12</v>
      </c>
      <c r="G3" s="2">
        <v>4</v>
      </c>
      <c r="H3" s="2">
        <v>4.7</v>
      </c>
      <c r="I3" s="2">
        <v>47</v>
      </c>
      <c r="J3" s="2" t="s">
        <v>301</v>
      </c>
      <c r="K3" s="2" t="str">
        <f t="shared" ref="K3:K12" si="0">IF(E3=0,"Free",IF(E3&lt;=20,"Low",IF(E3&lt;=50,"Medium","High")))</f>
        <v>Free</v>
      </c>
      <c r="L3" s="2" t="str">
        <f t="shared" ref="L3:L66" si="1">IF(H3&gt;=4.5,"Excellent",IF(H3&gt;=4,"Good","Average"))</f>
        <v>Excellent</v>
      </c>
      <c r="M3" s="2" t="str">
        <f t="shared" ref="M3:M66" si="2">IF(TRIM(UPPER(D3))="TRUE","Free Plan","No Free Plan")</f>
        <v>Free Plan</v>
      </c>
      <c r="N3" s="14">
        <f t="shared" ref="N3:N66" si="3">H3*I3/(E3+1)</f>
        <v>220.9</v>
      </c>
    </row>
    <row r="4" spans="1:14" x14ac:dyDescent="0.3">
      <c r="A4" s="2" t="s">
        <v>2</v>
      </c>
      <c r="B4" s="2" t="s">
        <v>176</v>
      </c>
      <c r="C4" s="2" t="s">
        <v>1</v>
      </c>
      <c r="D4" s="2" t="s">
        <v>293</v>
      </c>
      <c r="E4" s="4">
        <v>0</v>
      </c>
      <c r="F4" s="7">
        <v>24.99</v>
      </c>
      <c r="G4" s="2">
        <v>4</v>
      </c>
      <c r="H4" s="2">
        <v>4.4000000000000004</v>
      </c>
      <c r="I4" s="2">
        <v>31</v>
      </c>
      <c r="J4" s="2" t="s">
        <v>302</v>
      </c>
      <c r="K4" s="2" t="str">
        <f t="shared" si="0"/>
        <v>Free</v>
      </c>
      <c r="L4" s="2" t="str">
        <f t="shared" si="1"/>
        <v>Good</v>
      </c>
      <c r="M4" s="2" t="str">
        <f t="shared" si="2"/>
        <v>Free Plan</v>
      </c>
      <c r="N4" s="14">
        <f t="shared" si="3"/>
        <v>136.4</v>
      </c>
    </row>
    <row r="5" spans="1:14" x14ac:dyDescent="0.3">
      <c r="A5" s="2" t="s">
        <v>203</v>
      </c>
      <c r="B5" s="2" t="s">
        <v>176</v>
      </c>
      <c r="C5" s="2" t="s">
        <v>1</v>
      </c>
      <c r="D5" s="2" t="s">
        <v>293</v>
      </c>
      <c r="E5" s="4">
        <v>0</v>
      </c>
      <c r="F5" s="7">
        <v>19</v>
      </c>
      <c r="G5" s="2">
        <v>5</v>
      </c>
      <c r="H5" s="2">
        <v>4.7</v>
      </c>
      <c r="I5" s="2">
        <v>45</v>
      </c>
      <c r="J5" s="2" t="s">
        <v>303</v>
      </c>
      <c r="K5" s="2" t="str">
        <f t="shared" si="0"/>
        <v>Free</v>
      </c>
      <c r="L5" s="2" t="str">
        <f t="shared" si="1"/>
        <v>Excellent</v>
      </c>
      <c r="M5" s="2" t="str">
        <f t="shared" si="2"/>
        <v>Free Plan</v>
      </c>
      <c r="N5" s="14">
        <f t="shared" si="3"/>
        <v>211.5</v>
      </c>
    </row>
    <row r="6" spans="1:14" x14ac:dyDescent="0.3">
      <c r="A6" s="2" t="s">
        <v>3</v>
      </c>
      <c r="B6" s="2" t="s">
        <v>176</v>
      </c>
      <c r="C6" s="2" t="s">
        <v>1</v>
      </c>
      <c r="D6" s="2" t="s">
        <v>293</v>
      </c>
      <c r="E6" s="4">
        <v>0</v>
      </c>
      <c r="F6" s="7">
        <v>17.5</v>
      </c>
      <c r="G6" s="2">
        <v>4</v>
      </c>
      <c r="H6" s="2">
        <v>4.4000000000000004</v>
      </c>
      <c r="I6" s="2">
        <v>18</v>
      </c>
      <c r="J6" s="2" t="s">
        <v>304</v>
      </c>
      <c r="K6" s="2" t="str">
        <f t="shared" si="0"/>
        <v>Free</v>
      </c>
      <c r="L6" s="2" t="str">
        <f t="shared" si="1"/>
        <v>Good</v>
      </c>
      <c r="M6" s="2" t="str">
        <f t="shared" si="2"/>
        <v>Free Plan</v>
      </c>
      <c r="N6" s="14">
        <f t="shared" si="3"/>
        <v>79.2</v>
      </c>
    </row>
    <row r="7" spans="1:14" x14ac:dyDescent="0.3">
      <c r="A7" s="2" t="s">
        <v>4</v>
      </c>
      <c r="B7" s="2" t="s">
        <v>176</v>
      </c>
      <c r="C7" s="2" t="s">
        <v>1</v>
      </c>
      <c r="D7" s="2" t="s">
        <v>293</v>
      </c>
      <c r="E7" s="4">
        <v>0</v>
      </c>
      <c r="F7" s="7">
        <v>14.54</v>
      </c>
      <c r="G7" s="2">
        <v>4</v>
      </c>
      <c r="H7" s="2">
        <v>4.3</v>
      </c>
      <c r="I7" s="2">
        <v>42</v>
      </c>
      <c r="J7" s="2" t="s">
        <v>305</v>
      </c>
      <c r="K7" s="2" t="str">
        <f t="shared" si="0"/>
        <v>Free</v>
      </c>
      <c r="L7" s="2" t="str">
        <f t="shared" si="1"/>
        <v>Good</v>
      </c>
      <c r="M7" s="2" t="str">
        <f t="shared" si="2"/>
        <v>Free Plan</v>
      </c>
      <c r="N7" s="14">
        <f t="shared" si="3"/>
        <v>180.6</v>
      </c>
    </row>
    <row r="8" spans="1:14" x14ac:dyDescent="0.3">
      <c r="A8" s="2" t="s">
        <v>5</v>
      </c>
      <c r="B8" s="2" t="s">
        <v>176</v>
      </c>
      <c r="C8" s="2" t="s">
        <v>1</v>
      </c>
      <c r="D8" s="2" t="s">
        <v>293</v>
      </c>
      <c r="E8" s="4">
        <v>0</v>
      </c>
      <c r="F8" s="7">
        <v>299</v>
      </c>
      <c r="G8" s="2">
        <v>3</v>
      </c>
      <c r="H8" s="2">
        <v>4.0999999999999996</v>
      </c>
      <c r="I8" s="2">
        <v>14</v>
      </c>
      <c r="J8" s="2" t="s">
        <v>306</v>
      </c>
      <c r="K8" s="2" t="str">
        <f t="shared" si="0"/>
        <v>Free</v>
      </c>
      <c r="L8" s="2" t="str">
        <f t="shared" si="1"/>
        <v>Good</v>
      </c>
      <c r="M8" s="2" t="str">
        <f t="shared" si="2"/>
        <v>Free Plan</v>
      </c>
      <c r="N8" s="14">
        <f t="shared" si="3"/>
        <v>57.399999999999991</v>
      </c>
    </row>
    <row r="9" spans="1:14" x14ac:dyDescent="0.3">
      <c r="A9" s="2" t="s">
        <v>6</v>
      </c>
      <c r="B9" s="2" t="s">
        <v>176</v>
      </c>
      <c r="C9" s="2" t="s">
        <v>1</v>
      </c>
      <c r="D9" s="2" t="s">
        <v>293</v>
      </c>
      <c r="E9" s="4">
        <v>0</v>
      </c>
      <c r="F9" s="7">
        <v>25</v>
      </c>
      <c r="G9" s="2">
        <v>4</v>
      </c>
      <c r="H9" s="2">
        <v>4.2</v>
      </c>
      <c r="I9" s="2">
        <v>39</v>
      </c>
      <c r="J9" s="2" t="s">
        <v>307</v>
      </c>
      <c r="K9" s="2" t="str">
        <f t="shared" si="0"/>
        <v>Free</v>
      </c>
      <c r="L9" s="2" t="str">
        <f t="shared" si="1"/>
        <v>Good</v>
      </c>
      <c r="M9" s="2" t="str">
        <f t="shared" si="2"/>
        <v>Free Plan</v>
      </c>
      <c r="N9" s="14">
        <f t="shared" si="3"/>
        <v>163.80000000000001</v>
      </c>
    </row>
    <row r="10" spans="1:14" x14ac:dyDescent="0.3">
      <c r="A10" s="2" t="s">
        <v>7</v>
      </c>
      <c r="B10" s="2" t="s">
        <v>176</v>
      </c>
      <c r="C10" s="2" t="s">
        <v>1</v>
      </c>
      <c r="D10" s="2" t="s">
        <v>293</v>
      </c>
      <c r="E10" s="4">
        <v>0</v>
      </c>
      <c r="F10" s="7">
        <v>69.989999999999995</v>
      </c>
      <c r="G10" s="2">
        <v>4</v>
      </c>
      <c r="H10" s="2">
        <v>4.4000000000000004</v>
      </c>
      <c r="I10" s="2">
        <v>45</v>
      </c>
      <c r="J10" s="2" t="s">
        <v>308</v>
      </c>
      <c r="K10" s="2" t="str">
        <f t="shared" si="0"/>
        <v>Free</v>
      </c>
      <c r="L10" s="2" t="str">
        <f t="shared" si="1"/>
        <v>Good</v>
      </c>
      <c r="M10" s="2" t="str">
        <f t="shared" si="2"/>
        <v>Free Plan</v>
      </c>
      <c r="N10" s="14">
        <f t="shared" si="3"/>
        <v>198.00000000000003</v>
      </c>
    </row>
    <row r="11" spans="1:14" x14ac:dyDescent="0.3">
      <c r="A11" s="2" t="s">
        <v>8</v>
      </c>
      <c r="B11" s="2" t="s">
        <v>176</v>
      </c>
      <c r="C11" s="2" t="s">
        <v>1</v>
      </c>
      <c r="D11" s="2" t="s">
        <v>293</v>
      </c>
      <c r="E11" s="4">
        <v>0</v>
      </c>
      <c r="F11" s="7">
        <v>16</v>
      </c>
      <c r="G11" s="2">
        <v>4</v>
      </c>
      <c r="H11" s="2">
        <v>4.5999999999999996</v>
      </c>
      <c r="I11" s="2">
        <v>22</v>
      </c>
      <c r="J11" s="2" t="s">
        <v>309</v>
      </c>
      <c r="K11" s="2" t="str">
        <f t="shared" si="0"/>
        <v>Free</v>
      </c>
      <c r="L11" s="2" t="str">
        <f t="shared" si="1"/>
        <v>Excellent</v>
      </c>
      <c r="M11" s="2" t="str">
        <f t="shared" si="2"/>
        <v>Free Plan</v>
      </c>
      <c r="N11" s="14">
        <f t="shared" si="3"/>
        <v>101.19999999999999</v>
      </c>
    </row>
    <row r="12" spans="1:14" x14ac:dyDescent="0.3">
      <c r="A12" s="2" t="s">
        <v>9</v>
      </c>
      <c r="B12" s="2" t="s">
        <v>176</v>
      </c>
      <c r="C12" s="2" t="s">
        <v>1</v>
      </c>
      <c r="D12" s="2" t="s">
        <v>293</v>
      </c>
      <c r="E12" s="4">
        <v>0</v>
      </c>
      <c r="F12" s="7">
        <v>15</v>
      </c>
      <c r="G12" s="2">
        <v>3</v>
      </c>
      <c r="H12" s="2">
        <v>4.8</v>
      </c>
      <c r="I12" s="2">
        <v>25</v>
      </c>
      <c r="J12" s="2" t="s">
        <v>310</v>
      </c>
      <c r="K12" s="2" t="str">
        <f t="shared" si="0"/>
        <v>Free</v>
      </c>
      <c r="L12" s="2" t="str">
        <f t="shared" si="1"/>
        <v>Excellent</v>
      </c>
      <c r="M12" s="2" t="str">
        <f t="shared" si="2"/>
        <v>Free Plan</v>
      </c>
      <c r="N12" s="14">
        <f t="shared" si="3"/>
        <v>120</v>
      </c>
    </row>
    <row r="13" spans="1:14" x14ac:dyDescent="0.3">
      <c r="A13" s="2" t="s">
        <v>10</v>
      </c>
      <c r="B13" s="2" t="s">
        <v>176</v>
      </c>
      <c r="C13" s="2" t="s">
        <v>1</v>
      </c>
      <c r="D13" s="2" t="s">
        <v>293</v>
      </c>
      <c r="E13" s="4">
        <v>0</v>
      </c>
      <c r="F13" s="7">
        <v>12</v>
      </c>
      <c r="G13" s="2">
        <v>4</v>
      </c>
      <c r="H13" s="2">
        <v>4.5999999999999996</v>
      </c>
      <c r="I13" s="2">
        <v>40</v>
      </c>
      <c r="J13" s="2" t="s">
        <v>311</v>
      </c>
      <c r="K13" s="2" t="str">
        <f>IF(E13=0,"Free",IF(E13&lt;=20,"Low",IF(E13&lt;=50,"Medium","High")))</f>
        <v>Free</v>
      </c>
      <c r="L13" s="2" t="str">
        <f t="shared" si="1"/>
        <v>Excellent</v>
      </c>
      <c r="M13" s="2" t="str">
        <f t="shared" si="2"/>
        <v>Free Plan</v>
      </c>
      <c r="N13" s="14">
        <f t="shared" si="3"/>
        <v>184</v>
      </c>
    </row>
    <row r="14" spans="1:14" x14ac:dyDescent="0.3">
      <c r="A14" s="2" t="s">
        <v>11</v>
      </c>
      <c r="B14" s="2" t="s">
        <v>176</v>
      </c>
      <c r="C14" s="2" t="s">
        <v>1</v>
      </c>
      <c r="D14" s="2" t="s">
        <v>294</v>
      </c>
      <c r="E14" s="4">
        <v>9</v>
      </c>
      <c r="F14" s="7">
        <v>19</v>
      </c>
      <c r="G14" s="2">
        <v>3</v>
      </c>
      <c r="H14" s="2">
        <v>4.5</v>
      </c>
      <c r="I14" s="2">
        <v>35</v>
      </c>
      <c r="J14" s="2" t="s">
        <v>312</v>
      </c>
      <c r="K14" s="2" t="str">
        <f t="shared" ref="K14:K77" si="4">IF(E14=0,"Free",IF(E14&lt;=20,"Low",IF(E14&lt;=50,"Medium","High")))</f>
        <v>Low</v>
      </c>
      <c r="L14" s="2" t="str">
        <f t="shared" si="1"/>
        <v>Excellent</v>
      </c>
      <c r="M14" s="2" t="str">
        <f t="shared" si="2"/>
        <v>No Free Plan</v>
      </c>
      <c r="N14" s="14">
        <f t="shared" si="3"/>
        <v>15.75</v>
      </c>
    </row>
    <row r="15" spans="1:14" x14ac:dyDescent="0.3">
      <c r="A15" s="2" t="s">
        <v>12</v>
      </c>
      <c r="B15" s="2" t="s">
        <v>176</v>
      </c>
      <c r="C15" s="2" t="s">
        <v>1</v>
      </c>
      <c r="D15" s="2" t="s">
        <v>293</v>
      </c>
      <c r="E15" s="4">
        <v>0</v>
      </c>
      <c r="F15" s="7">
        <v>45</v>
      </c>
      <c r="G15" s="2">
        <v>4</v>
      </c>
      <c r="H15" s="2">
        <v>4.5999999999999996</v>
      </c>
      <c r="I15" s="2">
        <v>27</v>
      </c>
      <c r="J15" s="2" t="s">
        <v>313</v>
      </c>
      <c r="K15" s="2" t="str">
        <f t="shared" si="4"/>
        <v>Free</v>
      </c>
      <c r="L15" s="2" t="str">
        <f t="shared" si="1"/>
        <v>Excellent</v>
      </c>
      <c r="M15" s="2" t="str">
        <f t="shared" si="2"/>
        <v>Free Plan</v>
      </c>
      <c r="N15" s="14">
        <f t="shared" si="3"/>
        <v>124.19999999999999</v>
      </c>
    </row>
    <row r="16" spans="1:14" x14ac:dyDescent="0.3">
      <c r="A16" s="2" t="s">
        <v>13</v>
      </c>
      <c r="B16" s="2" t="s">
        <v>176</v>
      </c>
      <c r="C16" s="2" t="s">
        <v>1</v>
      </c>
      <c r="D16" s="2" t="s">
        <v>293</v>
      </c>
      <c r="E16" s="4">
        <v>0</v>
      </c>
      <c r="F16" s="7">
        <v>8</v>
      </c>
      <c r="G16" s="2">
        <v>3</v>
      </c>
      <c r="H16" s="2">
        <v>4.4000000000000004</v>
      </c>
      <c r="I16" s="2">
        <v>43</v>
      </c>
      <c r="J16" s="2" t="s">
        <v>314</v>
      </c>
      <c r="K16" s="2" t="str">
        <f t="shared" si="4"/>
        <v>Free</v>
      </c>
      <c r="L16" s="2" t="str">
        <f t="shared" si="1"/>
        <v>Good</v>
      </c>
      <c r="M16" s="2" t="str">
        <f t="shared" si="2"/>
        <v>Free Plan</v>
      </c>
      <c r="N16" s="14">
        <f t="shared" si="3"/>
        <v>189.20000000000002</v>
      </c>
    </row>
    <row r="17" spans="1:14" x14ac:dyDescent="0.3">
      <c r="A17" s="2" t="s">
        <v>14</v>
      </c>
      <c r="B17" s="2" t="s">
        <v>176</v>
      </c>
      <c r="C17" s="2" t="s">
        <v>1</v>
      </c>
      <c r="D17" s="2" t="s">
        <v>293</v>
      </c>
      <c r="E17" s="4">
        <v>0</v>
      </c>
      <c r="F17" s="7">
        <v>20</v>
      </c>
      <c r="G17" s="2">
        <v>4</v>
      </c>
      <c r="H17" s="2">
        <v>4.8</v>
      </c>
      <c r="I17" s="2">
        <v>28</v>
      </c>
      <c r="J17" s="2" t="s">
        <v>315</v>
      </c>
      <c r="K17" s="2" t="str">
        <f t="shared" si="4"/>
        <v>Free</v>
      </c>
      <c r="L17" s="2" t="str">
        <f t="shared" si="1"/>
        <v>Excellent</v>
      </c>
      <c r="M17" s="2" t="str">
        <f t="shared" si="2"/>
        <v>Free Plan</v>
      </c>
      <c r="N17" s="14">
        <f t="shared" si="3"/>
        <v>134.4</v>
      </c>
    </row>
    <row r="18" spans="1:14" x14ac:dyDescent="0.3">
      <c r="A18" s="2" t="s">
        <v>15</v>
      </c>
      <c r="B18" s="2" t="s">
        <v>176</v>
      </c>
      <c r="C18" s="2" t="s">
        <v>1</v>
      </c>
      <c r="D18" s="2" t="s">
        <v>293</v>
      </c>
      <c r="E18" s="4">
        <v>0</v>
      </c>
      <c r="F18" s="7">
        <v>30</v>
      </c>
      <c r="G18" s="2">
        <v>4</v>
      </c>
      <c r="H18" s="2">
        <v>4.7</v>
      </c>
      <c r="I18" s="2">
        <v>24</v>
      </c>
      <c r="J18" s="2" t="s">
        <v>316</v>
      </c>
      <c r="K18" s="2" t="str">
        <f t="shared" si="4"/>
        <v>Free</v>
      </c>
      <c r="L18" s="2" t="str">
        <f t="shared" si="1"/>
        <v>Excellent</v>
      </c>
      <c r="M18" s="2" t="str">
        <f t="shared" si="2"/>
        <v>Free Plan</v>
      </c>
      <c r="N18" s="14">
        <f t="shared" si="3"/>
        <v>112.80000000000001</v>
      </c>
    </row>
    <row r="19" spans="1:14" x14ac:dyDescent="0.3">
      <c r="A19" s="2" t="s">
        <v>204</v>
      </c>
      <c r="B19" s="2" t="s">
        <v>176</v>
      </c>
      <c r="C19" s="2" t="s">
        <v>1</v>
      </c>
      <c r="D19" s="2" t="s">
        <v>293</v>
      </c>
      <c r="E19" s="4">
        <v>0</v>
      </c>
      <c r="F19" s="7">
        <v>12</v>
      </c>
      <c r="G19" s="2">
        <v>4</v>
      </c>
      <c r="H19" s="2">
        <v>4.3</v>
      </c>
      <c r="I19" s="2">
        <v>15</v>
      </c>
      <c r="J19" s="2" t="s">
        <v>317</v>
      </c>
      <c r="K19" s="2" t="str">
        <f t="shared" si="4"/>
        <v>Free</v>
      </c>
      <c r="L19" s="2" t="str">
        <f t="shared" si="1"/>
        <v>Good</v>
      </c>
      <c r="M19" s="2" t="str">
        <f t="shared" si="2"/>
        <v>Free Plan</v>
      </c>
      <c r="N19" s="14">
        <f t="shared" si="3"/>
        <v>64.5</v>
      </c>
    </row>
    <row r="20" spans="1:14" x14ac:dyDescent="0.3">
      <c r="A20" s="2" t="s">
        <v>16</v>
      </c>
      <c r="B20" s="2" t="s">
        <v>176</v>
      </c>
      <c r="C20" s="2" t="s">
        <v>1</v>
      </c>
      <c r="D20" s="2" t="s">
        <v>293</v>
      </c>
      <c r="E20" s="4">
        <v>0</v>
      </c>
      <c r="F20" s="7">
        <v>399</v>
      </c>
      <c r="G20" s="2">
        <v>4</v>
      </c>
      <c r="H20" s="2">
        <v>4.7</v>
      </c>
      <c r="I20" s="2">
        <v>15</v>
      </c>
      <c r="J20" s="2" t="s">
        <v>318</v>
      </c>
      <c r="K20" s="2" t="str">
        <f t="shared" si="4"/>
        <v>Free</v>
      </c>
      <c r="L20" s="2" t="str">
        <f t="shared" si="1"/>
        <v>Excellent</v>
      </c>
      <c r="M20" s="2" t="str">
        <f t="shared" si="2"/>
        <v>Free Plan</v>
      </c>
      <c r="N20" s="14">
        <f t="shared" si="3"/>
        <v>70.5</v>
      </c>
    </row>
    <row r="21" spans="1:14" x14ac:dyDescent="0.3">
      <c r="A21" s="2" t="s">
        <v>17</v>
      </c>
      <c r="B21" s="2" t="s">
        <v>176</v>
      </c>
      <c r="C21" s="2" t="s">
        <v>1</v>
      </c>
      <c r="D21" s="2" t="s">
        <v>293</v>
      </c>
      <c r="E21" s="4">
        <v>0</v>
      </c>
      <c r="F21" s="7">
        <v>10</v>
      </c>
      <c r="G21" s="2">
        <v>3</v>
      </c>
      <c r="H21" s="2">
        <v>4.3</v>
      </c>
      <c r="I21" s="2">
        <v>15</v>
      </c>
      <c r="J21" s="2" t="s">
        <v>319</v>
      </c>
      <c r="K21" s="2" t="str">
        <f t="shared" si="4"/>
        <v>Free</v>
      </c>
      <c r="L21" s="2" t="str">
        <f t="shared" si="1"/>
        <v>Good</v>
      </c>
      <c r="M21" s="2" t="str">
        <f t="shared" si="2"/>
        <v>Free Plan</v>
      </c>
      <c r="N21" s="14">
        <f t="shared" si="3"/>
        <v>64.5</v>
      </c>
    </row>
    <row r="22" spans="1:14" x14ac:dyDescent="0.3">
      <c r="A22" s="2" t="s">
        <v>18</v>
      </c>
      <c r="B22" s="2" t="s">
        <v>177</v>
      </c>
      <c r="C22" s="2" t="s">
        <v>1</v>
      </c>
      <c r="D22" s="2" t="s">
        <v>294</v>
      </c>
      <c r="E22" s="4">
        <v>25</v>
      </c>
      <c r="F22" s="7">
        <v>330</v>
      </c>
      <c r="G22" s="2">
        <v>4</v>
      </c>
      <c r="H22" s="2">
        <v>4.4000000000000004</v>
      </c>
      <c r="I22" s="2">
        <v>15</v>
      </c>
      <c r="J22" s="2" t="s">
        <v>320</v>
      </c>
      <c r="K22" s="2" t="str">
        <f t="shared" si="4"/>
        <v>Medium</v>
      </c>
      <c r="L22" s="2" t="str">
        <f t="shared" si="1"/>
        <v>Good</v>
      </c>
      <c r="M22" s="2" t="str">
        <f t="shared" si="2"/>
        <v>No Free Plan</v>
      </c>
      <c r="N22" s="14">
        <f t="shared" si="3"/>
        <v>2.5384615384615383</v>
      </c>
    </row>
    <row r="23" spans="1:14" x14ac:dyDescent="0.3">
      <c r="A23" s="2" t="s">
        <v>205</v>
      </c>
      <c r="B23" s="2" t="s">
        <v>177</v>
      </c>
      <c r="C23" s="2" t="s">
        <v>1</v>
      </c>
      <c r="D23" s="2" t="s">
        <v>293</v>
      </c>
      <c r="E23" s="4">
        <v>0</v>
      </c>
      <c r="F23" s="7">
        <v>3600</v>
      </c>
      <c r="G23" s="2">
        <v>4</v>
      </c>
      <c r="H23" s="2">
        <v>4.4000000000000004</v>
      </c>
      <c r="I23" s="2">
        <v>15</v>
      </c>
      <c r="J23" s="2" t="s">
        <v>321</v>
      </c>
      <c r="K23" s="2" t="str">
        <f t="shared" si="4"/>
        <v>Free</v>
      </c>
      <c r="L23" s="2" t="str">
        <f t="shared" si="1"/>
        <v>Good</v>
      </c>
      <c r="M23" s="2" t="str">
        <f t="shared" si="2"/>
        <v>Free Plan</v>
      </c>
      <c r="N23" s="14">
        <f t="shared" si="3"/>
        <v>66</v>
      </c>
    </row>
    <row r="24" spans="1:14" x14ac:dyDescent="0.3">
      <c r="A24" s="2" t="s">
        <v>19</v>
      </c>
      <c r="B24" s="2" t="s">
        <v>177</v>
      </c>
      <c r="C24" s="2" t="s">
        <v>1</v>
      </c>
      <c r="D24" s="2" t="s">
        <v>294</v>
      </c>
      <c r="E24" s="4">
        <v>14</v>
      </c>
      <c r="F24" s="7">
        <v>99</v>
      </c>
      <c r="G24" s="2">
        <v>5</v>
      </c>
      <c r="H24" s="2">
        <v>4.3</v>
      </c>
      <c r="I24" s="2">
        <v>31</v>
      </c>
      <c r="J24" s="2" t="s">
        <v>322</v>
      </c>
      <c r="K24" s="2" t="str">
        <f t="shared" si="4"/>
        <v>Low</v>
      </c>
      <c r="L24" s="2" t="str">
        <f t="shared" si="1"/>
        <v>Good</v>
      </c>
      <c r="M24" s="2" t="str">
        <f t="shared" si="2"/>
        <v>No Free Plan</v>
      </c>
      <c r="N24" s="14">
        <f t="shared" si="3"/>
        <v>8.8866666666666649</v>
      </c>
    </row>
    <row r="25" spans="1:14" x14ac:dyDescent="0.3">
      <c r="A25" s="2" t="s">
        <v>206</v>
      </c>
      <c r="B25" s="2" t="s">
        <v>177</v>
      </c>
      <c r="C25" s="2" t="s">
        <v>1</v>
      </c>
      <c r="D25" s="2" t="s">
        <v>293</v>
      </c>
      <c r="E25" s="4">
        <v>0</v>
      </c>
      <c r="F25" s="7">
        <v>65</v>
      </c>
      <c r="G25" s="2">
        <v>5</v>
      </c>
      <c r="H25" s="2">
        <v>4.0999999999999996</v>
      </c>
      <c r="I25" s="2">
        <v>15</v>
      </c>
      <c r="J25" s="2" t="s">
        <v>323</v>
      </c>
      <c r="K25" s="2" t="str">
        <f t="shared" si="4"/>
        <v>Free</v>
      </c>
      <c r="L25" s="2" t="str">
        <f t="shared" si="1"/>
        <v>Good</v>
      </c>
      <c r="M25" s="2" t="str">
        <f t="shared" si="2"/>
        <v>Free Plan</v>
      </c>
      <c r="N25" s="14">
        <f t="shared" si="3"/>
        <v>61.499999999999993</v>
      </c>
    </row>
    <row r="26" spans="1:14" x14ac:dyDescent="0.3">
      <c r="A26" s="2" t="s">
        <v>20</v>
      </c>
      <c r="B26" s="2" t="s">
        <v>177</v>
      </c>
      <c r="C26" s="2" t="s">
        <v>1</v>
      </c>
      <c r="D26" s="2" t="s">
        <v>293</v>
      </c>
      <c r="E26" s="4">
        <v>0</v>
      </c>
      <c r="F26" s="7">
        <v>71</v>
      </c>
      <c r="G26" s="2">
        <v>4</v>
      </c>
      <c r="H26" s="2">
        <v>4.5</v>
      </c>
      <c r="I26" s="2">
        <v>15</v>
      </c>
      <c r="J26" s="2" t="s">
        <v>324</v>
      </c>
      <c r="K26" s="2" t="str">
        <f t="shared" si="4"/>
        <v>Free</v>
      </c>
      <c r="L26" s="2" t="str">
        <f t="shared" si="1"/>
        <v>Excellent</v>
      </c>
      <c r="M26" s="2" t="str">
        <f t="shared" si="2"/>
        <v>Free Plan</v>
      </c>
      <c r="N26" s="14">
        <f t="shared" si="3"/>
        <v>67.5</v>
      </c>
    </row>
    <row r="27" spans="1:14" x14ac:dyDescent="0.3">
      <c r="A27" s="2" t="s">
        <v>21</v>
      </c>
      <c r="B27" s="2" t="s">
        <v>177</v>
      </c>
      <c r="C27" s="2" t="s">
        <v>1</v>
      </c>
      <c r="D27" s="2" t="s">
        <v>294</v>
      </c>
      <c r="E27" s="4">
        <v>49</v>
      </c>
      <c r="F27" s="7">
        <v>139</v>
      </c>
      <c r="G27" s="2">
        <v>3</v>
      </c>
      <c r="H27" s="2">
        <v>4.7</v>
      </c>
      <c r="I27" s="2">
        <v>15</v>
      </c>
      <c r="J27" s="2" t="s">
        <v>325</v>
      </c>
      <c r="K27" s="2" t="str">
        <f t="shared" si="4"/>
        <v>Medium</v>
      </c>
      <c r="L27" s="2" t="str">
        <f t="shared" si="1"/>
        <v>Excellent</v>
      </c>
      <c r="M27" s="2" t="str">
        <f t="shared" si="2"/>
        <v>No Free Plan</v>
      </c>
      <c r="N27" s="14">
        <f t="shared" si="3"/>
        <v>1.41</v>
      </c>
    </row>
    <row r="28" spans="1:14" x14ac:dyDescent="0.3">
      <c r="A28" s="2" t="s">
        <v>22</v>
      </c>
      <c r="B28" s="2" t="s">
        <v>177</v>
      </c>
      <c r="C28" s="2" t="s">
        <v>1</v>
      </c>
      <c r="D28" s="2" t="s">
        <v>294</v>
      </c>
      <c r="E28" s="4">
        <v>12</v>
      </c>
      <c r="F28" s="7">
        <v>134</v>
      </c>
      <c r="G28" s="2">
        <v>4</v>
      </c>
      <c r="H28" s="2">
        <v>4.5</v>
      </c>
      <c r="I28" s="2">
        <v>22</v>
      </c>
      <c r="J28" s="2" t="s">
        <v>326</v>
      </c>
      <c r="K28" s="2" t="str">
        <f t="shared" si="4"/>
        <v>Low</v>
      </c>
      <c r="L28" s="2" t="str">
        <f t="shared" si="1"/>
        <v>Excellent</v>
      </c>
      <c r="M28" s="2" t="str">
        <f t="shared" si="2"/>
        <v>No Free Plan</v>
      </c>
      <c r="N28" s="14">
        <f t="shared" si="3"/>
        <v>7.615384615384615</v>
      </c>
    </row>
    <row r="29" spans="1:14" x14ac:dyDescent="0.3">
      <c r="A29" s="2" t="s">
        <v>23</v>
      </c>
      <c r="B29" s="2" t="s">
        <v>177</v>
      </c>
      <c r="C29" s="2" t="s">
        <v>1</v>
      </c>
      <c r="D29" s="2" t="s">
        <v>293</v>
      </c>
      <c r="E29" s="4">
        <v>0</v>
      </c>
      <c r="F29" s="7">
        <v>99</v>
      </c>
      <c r="G29" s="2">
        <v>4</v>
      </c>
      <c r="H29" s="2">
        <v>4.2</v>
      </c>
      <c r="I29" s="2">
        <v>15</v>
      </c>
      <c r="J29" s="2" t="s">
        <v>327</v>
      </c>
      <c r="K29" s="2" t="str">
        <f t="shared" si="4"/>
        <v>Free</v>
      </c>
      <c r="L29" s="2" t="str">
        <f t="shared" si="1"/>
        <v>Good</v>
      </c>
      <c r="M29" s="2" t="str">
        <f t="shared" si="2"/>
        <v>Free Plan</v>
      </c>
      <c r="N29" s="14">
        <f t="shared" si="3"/>
        <v>63</v>
      </c>
    </row>
    <row r="30" spans="1:14" x14ac:dyDescent="0.3">
      <c r="A30" s="2" t="s">
        <v>24</v>
      </c>
      <c r="B30" s="2" t="s">
        <v>177</v>
      </c>
      <c r="C30" s="2" t="s">
        <v>1</v>
      </c>
      <c r="D30" s="2" t="s">
        <v>294</v>
      </c>
      <c r="E30" s="4">
        <v>299</v>
      </c>
      <c r="F30" s="7">
        <v>599</v>
      </c>
      <c r="G30" s="2">
        <v>3</v>
      </c>
      <c r="H30" s="2">
        <v>4.2</v>
      </c>
      <c r="I30" s="2">
        <v>38</v>
      </c>
      <c r="J30" s="2" t="s">
        <v>328</v>
      </c>
      <c r="K30" s="2" t="str">
        <f t="shared" si="4"/>
        <v>High</v>
      </c>
      <c r="L30" s="2" t="str">
        <f t="shared" si="1"/>
        <v>Good</v>
      </c>
      <c r="M30" s="2" t="str">
        <f t="shared" si="2"/>
        <v>No Free Plan</v>
      </c>
      <c r="N30" s="14">
        <f t="shared" si="3"/>
        <v>0.53200000000000003</v>
      </c>
    </row>
    <row r="31" spans="1:14" x14ac:dyDescent="0.3">
      <c r="A31" s="2" t="s">
        <v>25</v>
      </c>
      <c r="B31" s="2" t="s">
        <v>177</v>
      </c>
      <c r="C31" s="2" t="s">
        <v>1</v>
      </c>
      <c r="D31" s="2" t="s">
        <v>293</v>
      </c>
      <c r="E31" s="4">
        <v>0</v>
      </c>
      <c r="F31" s="7">
        <v>129</v>
      </c>
      <c r="G31" s="2">
        <v>5</v>
      </c>
      <c r="H31" s="2">
        <v>4.5</v>
      </c>
      <c r="I31" s="2">
        <v>15</v>
      </c>
      <c r="J31" s="2" t="s">
        <v>329</v>
      </c>
      <c r="K31" s="2" t="str">
        <f t="shared" si="4"/>
        <v>Free</v>
      </c>
      <c r="L31" s="2" t="str">
        <f t="shared" si="1"/>
        <v>Excellent</v>
      </c>
      <c r="M31" s="2" t="str">
        <f t="shared" si="2"/>
        <v>Free Plan</v>
      </c>
      <c r="N31" s="14">
        <f t="shared" si="3"/>
        <v>67.5</v>
      </c>
    </row>
    <row r="32" spans="1:14" x14ac:dyDescent="0.3">
      <c r="A32" s="2" t="s">
        <v>26</v>
      </c>
      <c r="B32" s="2" t="s">
        <v>177</v>
      </c>
      <c r="C32" s="2" t="s">
        <v>1</v>
      </c>
      <c r="D32" s="2" t="s">
        <v>294</v>
      </c>
      <c r="E32" s="4">
        <v>19</v>
      </c>
      <c r="F32" s="7">
        <v>89</v>
      </c>
      <c r="G32" s="2">
        <v>5</v>
      </c>
      <c r="H32" s="2">
        <v>4.3</v>
      </c>
      <c r="I32" s="2">
        <v>15</v>
      </c>
      <c r="J32" s="2" t="s">
        <v>330</v>
      </c>
      <c r="K32" s="2" t="str">
        <f t="shared" si="4"/>
        <v>Low</v>
      </c>
      <c r="L32" s="2" t="str">
        <f t="shared" si="1"/>
        <v>Good</v>
      </c>
      <c r="M32" s="2" t="str">
        <f t="shared" si="2"/>
        <v>No Free Plan</v>
      </c>
      <c r="N32" s="14">
        <f t="shared" si="3"/>
        <v>3.2250000000000001</v>
      </c>
    </row>
    <row r="33" spans="1:14" x14ac:dyDescent="0.3">
      <c r="A33" s="2" t="s">
        <v>207</v>
      </c>
      <c r="B33" s="2" t="s">
        <v>177</v>
      </c>
      <c r="C33" s="2" t="s">
        <v>1</v>
      </c>
      <c r="D33" s="2" t="s">
        <v>294</v>
      </c>
      <c r="E33" s="4">
        <v>15</v>
      </c>
      <c r="F33" s="7">
        <v>15</v>
      </c>
      <c r="G33" s="2">
        <v>1</v>
      </c>
      <c r="H33" s="2">
        <v>4.9000000000000004</v>
      </c>
      <c r="I33" s="2">
        <v>15</v>
      </c>
      <c r="J33" s="2" t="s">
        <v>331</v>
      </c>
      <c r="K33" s="2" t="str">
        <f t="shared" si="4"/>
        <v>Low</v>
      </c>
      <c r="L33" s="2" t="str">
        <f t="shared" si="1"/>
        <v>Excellent</v>
      </c>
      <c r="M33" s="2" t="str">
        <f t="shared" si="2"/>
        <v>No Free Plan</v>
      </c>
      <c r="N33" s="14">
        <f t="shared" si="3"/>
        <v>4.59375</v>
      </c>
    </row>
    <row r="34" spans="1:14" x14ac:dyDescent="0.3">
      <c r="A34" s="2" t="s">
        <v>208</v>
      </c>
      <c r="B34" s="2" t="s">
        <v>177</v>
      </c>
      <c r="C34" s="2" t="s">
        <v>1</v>
      </c>
      <c r="D34" s="2" t="s">
        <v>294</v>
      </c>
      <c r="E34" s="4">
        <v>12</v>
      </c>
      <c r="F34" s="7">
        <v>28</v>
      </c>
      <c r="G34" s="2">
        <v>4</v>
      </c>
      <c r="H34" s="2">
        <v>4.5999999999999996</v>
      </c>
      <c r="I34" s="2">
        <v>15</v>
      </c>
      <c r="J34" s="2" t="s">
        <v>332</v>
      </c>
      <c r="K34" s="2" t="str">
        <f t="shared" si="4"/>
        <v>Low</v>
      </c>
      <c r="L34" s="2" t="str">
        <f t="shared" si="1"/>
        <v>Excellent</v>
      </c>
      <c r="M34" s="2" t="str">
        <f t="shared" si="2"/>
        <v>No Free Plan</v>
      </c>
      <c r="N34" s="14">
        <f t="shared" si="3"/>
        <v>5.3076923076923075</v>
      </c>
    </row>
    <row r="35" spans="1:14" x14ac:dyDescent="0.3">
      <c r="A35" s="2" t="s">
        <v>27</v>
      </c>
      <c r="B35" s="2" t="s">
        <v>177</v>
      </c>
      <c r="C35" s="2" t="s">
        <v>1</v>
      </c>
      <c r="D35" s="2" t="s">
        <v>294</v>
      </c>
      <c r="E35" s="4">
        <v>24</v>
      </c>
      <c r="F35" s="7">
        <v>48</v>
      </c>
      <c r="G35" s="2">
        <v>3</v>
      </c>
      <c r="H35" s="2">
        <v>4.7</v>
      </c>
      <c r="I35" s="2">
        <v>15</v>
      </c>
      <c r="J35" s="2" t="s">
        <v>333</v>
      </c>
      <c r="K35" s="2" t="str">
        <f t="shared" si="4"/>
        <v>Medium</v>
      </c>
      <c r="L35" s="2" t="str">
        <f t="shared" si="1"/>
        <v>Excellent</v>
      </c>
      <c r="M35" s="2" t="str">
        <f t="shared" si="2"/>
        <v>No Free Plan</v>
      </c>
      <c r="N35" s="14">
        <f t="shared" si="3"/>
        <v>2.82</v>
      </c>
    </row>
    <row r="36" spans="1:14" x14ac:dyDescent="0.3">
      <c r="A36" s="2" t="s">
        <v>209</v>
      </c>
      <c r="B36" s="2" t="s">
        <v>177</v>
      </c>
      <c r="C36" s="2" t="s">
        <v>1</v>
      </c>
      <c r="D36" s="2" t="s">
        <v>293</v>
      </c>
      <c r="E36" s="4">
        <v>0</v>
      </c>
      <c r="F36" s="7">
        <v>75</v>
      </c>
      <c r="G36" s="2">
        <v>5</v>
      </c>
      <c r="H36" s="2">
        <v>4.7</v>
      </c>
      <c r="I36" s="2">
        <v>15</v>
      </c>
      <c r="J36" s="2" t="s">
        <v>334</v>
      </c>
      <c r="K36" s="2" t="str">
        <f t="shared" si="4"/>
        <v>Free</v>
      </c>
      <c r="L36" s="2" t="str">
        <f t="shared" si="1"/>
        <v>Excellent</v>
      </c>
      <c r="M36" s="2" t="str">
        <f t="shared" si="2"/>
        <v>Free Plan</v>
      </c>
      <c r="N36" s="14">
        <f t="shared" si="3"/>
        <v>70.5</v>
      </c>
    </row>
    <row r="37" spans="1:14" x14ac:dyDescent="0.3">
      <c r="A37" s="2" t="s">
        <v>28</v>
      </c>
      <c r="B37" s="2" t="s">
        <v>177</v>
      </c>
      <c r="C37" s="2" t="s">
        <v>1</v>
      </c>
      <c r="D37" s="2" t="s">
        <v>293</v>
      </c>
      <c r="E37" s="4">
        <v>0</v>
      </c>
      <c r="F37" s="7">
        <v>69</v>
      </c>
      <c r="G37" s="2">
        <v>4</v>
      </c>
      <c r="H37" s="2">
        <v>4.8</v>
      </c>
      <c r="I37" s="2">
        <v>15</v>
      </c>
      <c r="J37" s="2" t="s">
        <v>335</v>
      </c>
      <c r="K37" s="2" t="str">
        <f t="shared" si="4"/>
        <v>Free</v>
      </c>
      <c r="L37" s="2" t="str">
        <f t="shared" si="1"/>
        <v>Excellent</v>
      </c>
      <c r="M37" s="2" t="str">
        <f t="shared" si="2"/>
        <v>Free Plan</v>
      </c>
      <c r="N37" s="14">
        <f t="shared" si="3"/>
        <v>72</v>
      </c>
    </row>
    <row r="38" spans="1:14" x14ac:dyDescent="0.3">
      <c r="A38" s="2" t="s">
        <v>29</v>
      </c>
      <c r="B38" s="2" t="s">
        <v>178</v>
      </c>
      <c r="C38" s="2" t="s">
        <v>1</v>
      </c>
      <c r="D38" s="2" t="s">
        <v>293</v>
      </c>
      <c r="E38" s="4">
        <v>0</v>
      </c>
      <c r="F38" s="7">
        <v>350</v>
      </c>
      <c r="G38" s="2">
        <v>4</v>
      </c>
      <c r="H38" s="2">
        <v>4.4000000000000004</v>
      </c>
      <c r="I38" s="2">
        <v>36</v>
      </c>
      <c r="J38" s="2" t="s">
        <v>336</v>
      </c>
      <c r="K38" s="2" t="str">
        <f t="shared" si="4"/>
        <v>Free</v>
      </c>
      <c r="L38" s="2" t="str">
        <f t="shared" si="1"/>
        <v>Good</v>
      </c>
      <c r="M38" s="2" t="str">
        <f t="shared" si="2"/>
        <v>Free Plan</v>
      </c>
      <c r="N38" s="14">
        <f t="shared" si="3"/>
        <v>158.4</v>
      </c>
    </row>
    <row r="39" spans="1:14" x14ac:dyDescent="0.3">
      <c r="A39" s="2" t="s">
        <v>210</v>
      </c>
      <c r="B39" s="2" t="s">
        <v>178</v>
      </c>
      <c r="C39" s="2" t="s">
        <v>1</v>
      </c>
      <c r="D39" s="2" t="s">
        <v>293</v>
      </c>
      <c r="E39" s="4">
        <v>0</v>
      </c>
      <c r="F39" s="7">
        <v>66</v>
      </c>
      <c r="G39" s="2">
        <v>3</v>
      </c>
      <c r="H39" s="2">
        <v>4.4000000000000004</v>
      </c>
      <c r="I39" s="2">
        <v>15</v>
      </c>
      <c r="J39" s="2" t="s">
        <v>337</v>
      </c>
      <c r="K39" s="2" t="str">
        <f t="shared" si="4"/>
        <v>Free</v>
      </c>
      <c r="L39" s="2" t="str">
        <f t="shared" si="1"/>
        <v>Good</v>
      </c>
      <c r="M39" s="2" t="str">
        <f t="shared" si="2"/>
        <v>Free Plan</v>
      </c>
      <c r="N39" s="14">
        <f t="shared" si="3"/>
        <v>66</v>
      </c>
    </row>
    <row r="40" spans="1:14" x14ac:dyDescent="0.3">
      <c r="A40" s="2" t="s">
        <v>211</v>
      </c>
      <c r="B40" s="2" t="s">
        <v>178</v>
      </c>
      <c r="C40" s="2" t="s">
        <v>1</v>
      </c>
      <c r="D40" s="2" t="s">
        <v>294</v>
      </c>
      <c r="E40" s="4">
        <v>15</v>
      </c>
      <c r="F40" s="7">
        <v>145</v>
      </c>
      <c r="G40" s="2">
        <v>4</v>
      </c>
      <c r="H40" s="2">
        <v>4.5</v>
      </c>
      <c r="I40" s="2">
        <v>48</v>
      </c>
      <c r="J40" s="2" t="s">
        <v>338</v>
      </c>
      <c r="K40" s="2" t="str">
        <f t="shared" si="4"/>
        <v>Low</v>
      </c>
      <c r="L40" s="2" t="str">
        <f t="shared" si="1"/>
        <v>Excellent</v>
      </c>
      <c r="M40" s="2" t="str">
        <f t="shared" si="2"/>
        <v>No Free Plan</v>
      </c>
      <c r="N40" s="14">
        <f t="shared" si="3"/>
        <v>13.5</v>
      </c>
    </row>
    <row r="41" spans="1:14" x14ac:dyDescent="0.3">
      <c r="A41" s="2" t="s">
        <v>30</v>
      </c>
      <c r="B41" s="2" t="s">
        <v>178</v>
      </c>
      <c r="C41" s="2" t="s">
        <v>1</v>
      </c>
      <c r="D41" s="2" t="s">
        <v>294</v>
      </c>
      <c r="E41" s="4">
        <v>9</v>
      </c>
      <c r="F41" s="7">
        <v>49</v>
      </c>
      <c r="G41" s="2">
        <v>4</v>
      </c>
      <c r="H41" s="2">
        <v>4.5</v>
      </c>
      <c r="I41" s="2">
        <v>15</v>
      </c>
      <c r="J41" s="2" t="s">
        <v>339</v>
      </c>
      <c r="K41" s="2" t="str">
        <f t="shared" si="4"/>
        <v>Low</v>
      </c>
      <c r="L41" s="2" t="str">
        <f t="shared" si="1"/>
        <v>Excellent</v>
      </c>
      <c r="M41" s="2" t="str">
        <f t="shared" si="2"/>
        <v>No Free Plan</v>
      </c>
      <c r="N41" s="14">
        <f t="shared" si="3"/>
        <v>6.75</v>
      </c>
    </row>
    <row r="42" spans="1:14" x14ac:dyDescent="0.3">
      <c r="A42" s="2" t="s">
        <v>31</v>
      </c>
      <c r="B42" s="2" t="s">
        <v>178</v>
      </c>
      <c r="C42" s="2" t="s">
        <v>1</v>
      </c>
      <c r="D42" s="2" t="s">
        <v>293</v>
      </c>
      <c r="E42" s="4">
        <v>0</v>
      </c>
      <c r="F42" s="7">
        <v>35</v>
      </c>
      <c r="G42" s="2">
        <v>3</v>
      </c>
      <c r="H42" s="2">
        <v>4.5999999999999996</v>
      </c>
      <c r="I42" s="2">
        <v>41</v>
      </c>
      <c r="J42" s="2" t="s">
        <v>340</v>
      </c>
      <c r="K42" s="2" t="str">
        <f t="shared" si="4"/>
        <v>Free</v>
      </c>
      <c r="L42" s="2" t="str">
        <f t="shared" si="1"/>
        <v>Excellent</v>
      </c>
      <c r="M42" s="2" t="str">
        <f t="shared" si="2"/>
        <v>Free Plan</v>
      </c>
      <c r="N42" s="14">
        <f t="shared" si="3"/>
        <v>188.6</v>
      </c>
    </row>
    <row r="43" spans="1:14" x14ac:dyDescent="0.3">
      <c r="A43" s="2" t="s">
        <v>32</v>
      </c>
      <c r="B43" s="2" t="s">
        <v>178</v>
      </c>
      <c r="C43" s="2" t="s">
        <v>1</v>
      </c>
      <c r="D43" s="2" t="s">
        <v>294</v>
      </c>
      <c r="E43" s="4">
        <v>39</v>
      </c>
      <c r="F43" s="7">
        <v>39</v>
      </c>
      <c r="G43" s="2">
        <v>1</v>
      </c>
      <c r="H43" s="2">
        <v>4.4000000000000004</v>
      </c>
      <c r="I43" s="2">
        <v>15</v>
      </c>
      <c r="J43" s="2" t="s">
        <v>341</v>
      </c>
      <c r="K43" s="2" t="str">
        <f t="shared" si="4"/>
        <v>Medium</v>
      </c>
      <c r="L43" s="2" t="str">
        <f t="shared" si="1"/>
        <v>Good</v>
      </c>
      <c r="M43" s="2" t="str">
        <f t="shared" si="2"/>
        <v>No Free Plan</v>
      </c>
      <c r="N43" s="14">
        <f t="shared" si="3"/>
        <v>1.65</v>
      </c>
    </row>
    <row r="44" spans="1:14" x14ac:dyDescent="0.3">
      <c r="A44" s="2" t="s">
        <v>212</v>
      </c>
      <c r="B44" s="2" t="s">
        <v>178</v>
      </c>
      <c r="C44" s="2" t="s">
        <v>1</v>
      </c>
      <c r="D44" s="2" t="s">
        <v>293</v>
      </c>
      <c r="E44" s="4">
        <v>0</v>
      </c>
      <c r="F44" s="7">
        <v>899</v>
      </c>
      <c r="G44" s="2">
        <v>4</v>
      </c>
      <c r="H44" s="2">
        <v>4.2</v>
      </c>
      <c r="I44" s="2">
        <v>15</v>
      </c>
      <c r="J44" s="2" t="s">
        <v>342</v>
      </c>
      <c r="K44" s="2" t="str">
        <f t="shared" si="4"/>
        <v>Free</v>
      </c>
      <c r="L44" s="2" t="str">
        <f t="shared" si="1"/>
        <v>Good</v>
      </c>
      <c r="M44" s="2" t="str">
        <f t="shared" si="2"/>
        <v>Free Plan</v>
      </c>
      <c r="N44" s="14">
        <f t="shared" si="3"/>
        <v>63</v>
      </c>
    </row>
    <row r="45" spans="1:14" x14ac:dyDescent="0.3">
      <c r="A45" s="2" t="s">
        <v>213</v>
      </c>
      <c r="B45" s="2" t="s">
        <v>178</v>
      </c>
      <c r="C45" s="2" t="s">
        <v>1</v>
      </c>
      <c r="D45" s="2" t="s">
        <v>293</v>
      </c>
      <c r="E45" s="4">
        <v>0</v>
      </c>
      <c r="F45" s="7">
        <v>119</v>
      </c>
      <c r="G45" s="2">
        <v>5</v>
      </c>
      <c r="H45" s="2">
        <v>4.2</v>
      </c>
      <c r="I45" s="2">
        <v>15</v>
      </c>
      <c r="J45" s="2" t="s">
        <v>343</v>
      </c>
      <c r="K45" s="2" t="str">
        <f t="shared" si="4"/>
        <v>Free</v>
      </c>
      <c r="L45" s="2" t="str">
        <f t="shared" si="1"/>
        <v>Good</v>
      </c>
      <c r="M45" s="2" t="str">
        <f t="shared" si="2"/>
        <v>Free Plan</v>
      </c>
      <c r="N45" s="14">
        <f t="shared" si="3"/>
        <v>63</v>
      </c>
    </row>
    <row r="46" spans="1:14" x14ac:dyDescent="0.3">
      <c r="A46" s="2" t="s">
        <v>33</v>
      </c>
      <c r="B46" s="2" t="s">
        <v>178</v>
      </c>
      <c r="C46" s="2" t="s">
        <v>1</v>
      </c>
      <c r="D46" s="2" t="s">
        <v>294</v>
      </c>
      <c r="E46" s="4">
        <v>12</v>
      </c>
      <c r="F46" s="7">
        <v>80</v>
      </c>
      <c r="G46" s="2">
        <v>3</v>
      </c>
      <c r="H46" s="2">
        <v>4</v>
      </c>
      <c r="I46" s="2">
        <v>31</v>
      </c>
      <c r="J46" s="2" t="s">
        <v>344</v>
      </c>
      <c r="K46" s="2" t="str">
        <f t="shared" si="4"/>
        <v>Low</v>
      </c>
      <c r="L46" s="2" t="str">
        <f t="shared" si="1"/>
        <v>Good</v>
      </c>
      <c r="M46" s="2" t="str">
        <f t="shared" si="2"/>
        <v>No Free Plan</v>
      </c>
      <c r="N46" s="14">
        <f t="shared" si="3"/>
        <v>9.5384615384615383</v>
      </c>
    </row>
    <row r="47" spans="1:14" x14ac:dyDescent="0.3">
      <c r="A47" s="2" t="s">
        <v>214</v>
      </c>
      <c r="B47" s="2" t="s">
        <v>178</v>
      </c>
      <c r="C47" s="2" t="s">
        <v>1</v>
      </c>
      <c r="D47" s="2" t="s">
        <v>293</v>
      </c>
      <c r="E47" s="4">
        <v>0</v>
      </c>
      <c r="F47" s="7">
        <v>20</v>
      </c>
      <c r="G47" s="2">
        <v>4</v>
      </c>
      <c r="H47" s="2">
        <v>4.7</v>
      </c>
      <c r="I47" s="2">
        <v>15</v>
      </c>
      <c r="J47" s="2" t="s">
        <v>345</v>
      </c>
      <c r="K47" s="2" t="str">
        <f t="shared" si="4"/>
        <v>Free</v>
      </c>
      <c r="L47" s="2" t="str">
        <f t="shared" si="1"/>
        <v>Excellent</v>
      </c>
      <c r="M47" s="2" t="str">
        <f t="shared" si="2"/>
        <v>Free Plan</v>
      </c>
      <c r="N47" s="14">
        <f t="shared" si="3"/>
        <v>70.5</v>
      </c>
    </row>
    <row r="48" spans="1:14" x14ac:dyDescent="0.3">
      <c r="A48" s="2" t="s">
        <v>215</v>
      </c>
      <c r="B48" s="2" t="s">
        <v>178</v>
      </c>
      <c r="C48" s="2" t="s">
        <v>1</v>
      </c>
      <c r="D48" s="2" t="s">
        <v>293</v>
      </c>
      <c r="E48" s="4">
        <v>0</v>
      </c>
      <c r="F48" s="7">
        <v>96</v>
      </c>
      <c r="G48" s="2">
        <v>4</v>
      </c>
      <c r="H48" s="2">
        <v>4.7</v>
      </c>
      <c r="I48" s="2">
        <v>19</v>
      </c>
      <c r="J48" s="2" t="s">
        <v>346</v>
      </c>
      <c r="K48" s="2" t="str">
        <f t="shared" si="4"/>
        <v>Free</v>
      </c>
      <c r="L48" s="2" t="str">
        <f t="shared" si="1"/>
        <v>Excellent</v>
      </c>
      <c r="M48" s="2" t="str">
        <f t="shared" si="2"/>
        <v>Free Plan</v>
      </c>
      <c r="N48" s="14">
        <f t="shared" si="3"/>
        <v>89.3</v>
      </c>
    </row>
    <row r="49" spans="1:14" x14ac:dyDescent="0.3">
      <c r="A49" s="2" t="s">
        <v>34</v>
      </c>
      <c r="B49" s="2" t="s">
        <v>178</v>
      </c>
      <c r="C49" s="2" t="s">
        <v>1</v>
      </c>
      <c r="D49" s="2" t="s">
        <v>293</v>
      </c>
      <c r="E49" s="4">
        <v>0</v>
      </c>
      <c r="F49" s="7">
        <v>59</v>
      </c>
      <c r="G49" s="2">
        <v>3</v>
      </c>
      <c r="H49" s="2">
        <v>4.5999999999999996</v>
      </c>
      <c r="I49" s="2">
        <v>15</v>
      </c>
      <c r="J49" s="2" t="s">
        <v>347</v>
      </c>
      <c r="K49" s="2" t="str">
        <f t="shared" si="4"/>
        <v>Free</v>
      </c>
      <c r="L49" s="2" t="str">
        <f t="shared" si="1"/>
        <v>Excellent</v>
      </c>
      <c r="M49" s="2" t="str">
        <f t="shared" si="2"/>
        <v>Free Plan</v>
      </c>
      <c r="N49" s="14">
        <f t="shared" si="3"/>
        <v>69</v>
      </c>
    </row>
    <row r="50" spans="1:14" x14ac:dyDescent="0.3">
      <c r="A50" s="2" t="s">
        <v>35</v>
      </c>
      <c r="B50" s="2" t="s">
        <v>178</v>
      </c>
      <c r="C50" s="2" t="s">
        <v>1</v>
      </c>
      <c r="D50" s="2" t="s">
        <v>294</v>
      </c>
      <c r="E50" s="4">
        <v>9</v>
      </c>
      <c r="F50" s="7">
        <v>9</v>
      </c>
      <c r="G50" s="2">
        <v>2</v>
      </c>
      <c r="H50" s="2">
        <v>4.5999999999999996</v>
      </c>
      <c r="I50" s="2">
        <v>15</v>
      </c>
      <c r="J50" s="2" t="s">
        <v>348</v>
      </c>
      <c r="K50" s="2" t="str">
        <f t="shared" si="4"/>
        <v>Low</v>
      </c>
      <c r="L50" s="2" t="str">
        <f t="shared" si="1"/>
        <v>Excellent</v>
      </c>
      <c r="M50" s="2" t="str">
        <f t="shared" si="2"/>
        <v>No Free Plan</v>
      </c>
      <c r="N50" s="14">
        <f t="shared" si="3"/>
        <v>6.9</v>
      </c>
    </row>
    <row r="51" spans="1:14" x14ac:dyDescent="0.3">
      <c r="A51" s="2" t="s">
        <v>36</v>
      </c>
      <c r="B51" s="2" t="s">
        <v>178</v>
      </c>
      <c r="C51" s="2" t="s">
        <v>1</v>
      </c>
      <c r="D51" s="2" t="s">
        <v>294</v>
      </c>
      <c r="E51" s="4">
        <v>12</v>
      </c>
      <c r="F51" s="7">
        <v>159</v>
      </c>
      <c r="G51" s="2">
        <v>3</v>
      </c>
      <c r="H51" s="2">
        <v>4.0999999999999996</v>
      </c>
      <c r="I51" s="2">
        <v>15</v>
      </c>
      <c r="J51" s="2" t="s">
        <v>349</v>
      </c>
      <c r="K51" s="2" t="str">
        <f t="shared" si="4"/>
        <v>Low</v>
      </c>
      <c r="L51" s="2" t="str">
        <f t="shared" si="1"/>
        <v>Good</v>
      </c>
      <c r="M51" s="2" t="str">
        <f t="shared" si="2"/>
        <v>No Free Plan</v>
      </c>
      <c r="N51" s="14">
        <f t="shared" si="3"/>
        <v>4.7307692307692299</v>
      </c>
    </row>
    <row r="52" spans="1:14" x14ac:dyDescent="0.3">
      <c r="A52" s="2" t="s">
        <v>37</v>
      </c>
      <c r="B52" s="2" t="s">
        <v>178</v>
      </c>
      <c r="C52" s="2" t="s">
        <v>1</v>
      </c>
      <c r="D52" s="2" t="s">
        <v>293</v>
      </c>
      <c r="E52" s="4">
        <v>0</v>
      </c>
      <c r="F52" s="7">
        <v>35</v>
      </c>
      <c r="G52" s="2">
        <v>4</v>
      </c>
      <c r="H52" s="2">
        <v>4.4000000000000004</v>
      </c>
      <c r="I52" s="2">
        <v>15</v>
      </c>
      <c r="J52" s="2" t="s">
        <v>350</v>
      </c>
      <c r="K52" s="2" t="str">
        <f t="shared" si="4"/>
        <v>Free</v>
      </c>
      <c r="L52" s="2" t="str">
        <f t="shared" si="1"/>
        <v>Good</v>
      </c>
      <c r="M52" s="2" t="str">
        <f t="shared" si="2"/>
        <v>Free Plan</v>
      </c>
      <c r="N52" s="14">
        <f t="shared" si="3"/>
        <v>66</v>
      </c>
    </row>
    <row r="53" spans="1:14" x14ac:dyDescent="0.3">
      <c r="A53" s="2" t="s">
        <v>38</v>
      </c>
      <c r="B53" s="2" t="s">
        <v>178</v>
      </c>
      <c r="C53" s="2" t="s">
        <v>1</v>
      </c>
      <c r="D53" s="2" t="s">
        <v>293</v>
      </c>
      <c r="E53" s="4">
        <v>0</v>
      </c>
      <c r="F53" s="7">
        <v>64</v>
      </c>
      <c r="G53" s="2">
        <v>4</v>
      </c>
      <c r="H53" s="2">
        <v>4</v>
      </c>
      <c r="I53" s="2">
        <v>15</v>
      </c>
      <c r="J53" s="2" t="s">
        <v>351</v>
      </c>
      <c r="K53" s="2" t="str">
        <f t="shared" si="4"/>
        <v>Free</v>
      </c>
      <c r="L53" s="2" t="str">
        <f t="shared" si="1"/>
        <v>Good</v>
      </c>
      <c r="M53" s="2" t="str">
        <f t="shared" si="2"/>
        <v>Free Plan</v>
      </c>
      <c r="N53" s="14">
        <f t="shared" si="3"/>
        <v>60</v>
      </c>
    </row>
    <row r="54" spans="1:14" x14ac:dyDescent="0.3">
      <c r="A54" s="2" t="s">
        <v>39</v>
      </c>
      <c r="B54" s="2" t="s">
        <v>178</v>
      </c>
      <c r="C54" s="2" t="s">
        <v>1</v>
      </c>
      <c r="D54" s="2" t="s">
        <v>293</v>
      </c>
      <c r="E54" s="4">
        <v>0</v>
      </c>
      <c r="F54" s="7">
        <v>79</v>
      </c>
      <c r="G54" s="2">
        <v>4</v>
      </c>
      <c r="H54" s="2">
        <v>4.5999999999999996</v>
      </c>
      <c r="I54" s="2">
        <v>15</v>
      </c>
      <c r="J54" s="2" t="s">
        <v>352</v>
      </c>
      <c r="K54" s="2" t="str">
        <f t="shared" si="4"/>
        <v>Free</v>
      </c>
      <c r="L54" s="2" t="str">
        <f t="shared" si="1"/>
        <v>Excellent</v>
      </c>
      <c r="M54" s="2" t="str">
        <f t="shared" si="2"/>
        <v>Free Plan</v>
      </c>
      <c r="N54" s="14">
        <f t="shared" si="3"/>
        <v>69</v>
      </c>
    </row>
    <row r="55" spans="1:14" x14ac:dyDescent="0.3">
      <c r="A55" s="2" t="s">
        <v>40</v>
      </c>
      <c r="B55" s="2" t="s">
        <v>178</v>
      </c>
      <c r="C55" s="2" t="s">
        <v>1</v>
      </c>
      <c r="D55" s="2" t="s">
        <v>293</v>
      </c>
      <c r="E55" s="4">
        <v>0</v>
      </c>
      <c r="F55" s="7">
        <v>599</v>
      </c>
      <c r="G55" s="2">
        <v>4</v>
      </c>
      <c r="H55" s="2">
        <v>4.8</v>
      </c>
      <c r="I55" s="2">
        <v>15</v>
      </c>
      <c r="J55" s="2" t="s">
        <v>353</v>
      </c>
      <c r="K55" s="2" t="str">
        <f t="shared" si="4"/>
        <v>Free</v>
      </c>
      <c r="L55" s="2" t="str">
        <f t="shared" si="1"/>
        <v>Excellent</v>
      </c>
      <c r="M55" s="2" t="str">
        <f t="shared" si="2"/>
        <v>Free Plan</v>
      </c>
      <c r="N55" s="14">
        <f t="shared" si="3"/>
        <v>72</v>
      </c>
    </row>
    <row r="56" spans="1:14" x14ac:dyDescent="0.3">
      <c r="A56" s="2" t="s">
        <v>216</v>
      </c>
      <c r="B56" s="2" t="s">
        <v>179</v>
      </c>
      <c r="C56" s="2" t="s">
        <v>1</v>
      </c>
      <c r="D56" s="2" t="s">
        <v>293</v>
      </c>
      <c r="E56" s="4">
        <v>0</v>
      </c>
      <c r="F56" s="7">
        <v>45</v>
      </c>
      <c r="G56" s="2">
        <v>5</v>
      </c>
      <c r="H56" s="2">
        <v>4.4000000000000004</v>
      </c>
      <c r="I56" s="2">
        <v>48</v>
      </c>
      <c r="J56" s="2" t="s">
        <v>354</v>
      </c>
      <c r="K56" s="2" t="str">
        <f t="shared" si="4"/>
        <v>Free</v>
      </c>
      <c r="L56" s="2" t="str">
        <f t="shared" si="1"/>
        <v>Good</v>
      </c>
      <c r="M56" s="2" t="str">
        <f t="shared" si="2"/>
        <v>Free Plan</v>
      </c>
      <c r="N56" s="14">
        <f t="shared" si="3"/>
        <v>211.20000000000002</v>
      </c>
    </row>
    <row r="57" spans="1:14" x14ac:dyDescent="0.3">
      <c r="A57" s="2" t="s">
        <v>41</v>
      </c>
      <c r="B57" s="2" t="s">
        <v>179</v>
      </c>
      <c r="C57" s="2" t="s">
        <v>1</v>
      </c>
      <c r="D57" s="2" t="s">
        <v>293</v>
      </c>
      <c r="E57" s="4">
        <v>0</v>
      </c>
      <c r="F57" s="7">
        <v>159</v>
      </c>
      <c r="G57" s="2">
        <v>5</v>
      </c>
      <c r="H57" s="2">
        <v>4.2</v>
      </c>
      <c r="I57" s="2">
        <v>38</v>
      </c>
      <c r="J57" s="2" t="s">
        <v>355</v>
      </c>
      <c r="K57" s="2" t="str">
        <f t="shared" si="4"/>
        <v>Free</v>
      </c>
      <c r="L57" s="2" t="str">
        <f t="shared" si="1"/>
        <v>Good</v>
      </c>
      <c r="M57" s="2" t="str">
        <f t="shared" si="2"/>
        <v>Free Plan</v>
      </c>
      <c r="N57" s="14">
        <f t="shared" si="3"/>
        <v>159.6</v>
      </c>
    </row>
    <row r="58" spans="1:14" x14ac:dyDescent="0.3">
      <c r="A58" s="2" t="s">
        <v>42</v>
      </c>
      <c r="B58" s="2" t="s">
        <v>179</v>
      </c>
      <c r="C58" s="2" t="s">
        <v>1</v>
      </c>
      <c r="D58" s="2" t="s">
        <v>294</v>
      </c>
      <c r="E58" s="4">
        <v>16</v>
      </c>
      <c r="F58" s="7">
        <v>65</v>
      </c>
      <c r="G58" s="2">
        <v>4</v>
      </c>
      <c r="H58" s="2">
        <v>4.4000000000000004</v>
      </c>
      <c r="I58" s="2">
        <v>15</v>
      </c>
      <c r="J58" s="2" t="s">
        <v>356</v>
      </c>
      <c r="K58" s="2" t="str">
        <f t="shared" si="4"/>
        <v>Low</v>
      </c>
      <c r="L58" s="2" t="str">
        <f t="shared" si="1"/>
        <v>Good</v>
      </c>
      <c r="M58" s="2" t="str">
        <f t="shared" si="2"/>
        <v>No Free Plan</v>
      </c>
      <c r="N58" s="14">
        <f t="shared" si="3"/>
        <v>3.8823529411764706</v>
      </c>
    </row>
    <row r="59" spans="1:14" x14ac:dyDescent="0.3">
      <c r="A59" s="2" t="s">
        <v>43</v>
      </c>
      <c r="B59" s="2" t="s">
        <v>179</v>
      </c>
      <c r="C59" s="2" t="s">
        <v>1</v>
      </c>
      <c r="D59" s="2" t="s">
        <v>293</v>
      </c>
      <c r="E59" s="4">
        <v>0</v>
      </c>
      <c r="F59" s="7">
        <v>39</v>
      </c>
      <c r="G59" s="2">
        <v>5</v>
      </c>
      <c r="H59" s="2">
        <v>4.4000000000000004</v>
      </c>
      <c r="I59" s="2">
        <v>33</v>
      </c>
      <c r="J59" s="2" t="s">
        <v>357</v>
      </c>
      <c r="K59" s="2" t="str">
        <f t="shared" si="4"/>
        <v>Free</v>
      </c>
      <c r="L59" s="2" t="str">
        <f t="shared" si="1"/>
        <v>Good</v>
      </c>
      <c r="M59" s="2" t="str">
        <f t="shared" si="2"/>
        <v>Free Plan</v>
      </c>
      <c r="N59" s="14">
        <f t="shared" si="3"/>
        <v>145.20000000000002</v>
      </c>
    </row>
    <row r="60" spans="1:14" x14ac:dyDescent="0.3">
      <c r="A60" s="2" t="s">
        <v>44</v>
      </c>
      <c r="B60" s="2" t="s">
        <v>179</v>
      </c>
      <c r="C60" s="2" t="s">
        <v>1</v>
      </c>
      <c r="D60" s="2" t="s">
        <v>293</v>
      </c>
      <c r="E60" s="4">
        <v>0</v>
      </c>
      <c r="F60" s="7">
        <v>30</v>
      </c>
      <c r="G60" s="2">
        <v>5</v>
      </c>
      <c r="H60" s="2">
        <v>4.5</v>
      </c>
      <c r="I60" s="2">
        <v>15</v>
      </c>
      <c r="J60" s="2" t="s">
        <v>358</v>
      </c>
      <c r="K60" s="2" t="str">
        <f t="shared" si="4"/>
        <v>Free</v>
      </c>
      <c r="L60" s="2" t="str">
        <f t="shared" si="1"/>
        <v>Excellent</v>
      </c>
      <c r="M60" s="2" t="str">
        <f t="shared" si="2"/>
        <v>Free Plan</v>
      </c>
      <c r="N60" s="14">
        <f t="shared" si="3"/>
        <v>67.5</v>
      </c>
    </row>
    <row r="61" spans="1:14" x14ac:dyDescent="0.3">
      <c r="A61" s="2" t="s">
        <v>45</v>
      </c>
      <c r="B61" s="2" t="s">
        <v>179</v>
      </c>
      <c r="C61" s="2" t="s">
        <v>1</v>
      </c>
      <c r="D61" s="2" t="s">
        <v>293</v>
      </c>
      <c r="E61" s="4">
        <v>0</v>
      </c>
      <c r="F61" s="7">
        <v>49</v>
      </c>
      <c r="G61" s="2">
        <v>4</v>
      </c>
      <c r="H61" s="2">
        <v>4.5</v>
      </c>
      <c r="I61" s="2">
        <v>15</v>
      </c>
      <c r="J61" s="2" t="s">
        <v>359</v>
      </c>
      <c r="K61" s="2" t="str">
        <f t="shared" si="4"/>
        <v>Free</v>
      </c>
      <c r="L61" s="2" t="str">
        <f t="shared" si="1"/>
        <v>Excellent</v>
      </c>
      <c r="M61" s="2" t="str">
        <f t="shared" si="2"/>
        <v>Free Plan</v>
      </c>
      <c r="N61" s="14">
        <f t="shared" si="3"/>
        <v>67.5</v>
      </c>
    </row>
    <row r="62" spans="1:14" x14ac:dyDescent="0.3">
      <c r="A62" s="2" t="s">
        <v>46</v>
      </c>
      <c r="B62" s="2" t="s">
        <v>179</v>
      </c>
      <c r="C62" s="2" t="s">
        <v>1</v>
      </c>
      <c r="D62" s="2" t="s">
        <v>294</v>
      </c>
      <c r="E62" s="4">
        <v>15</v>
      </c>
      <c r="F62" s="7">
        <v>199</v>
      </c>
      <c r="G62" s="2">
        <v>4</v>
      </c>
      <c r="H62" s="2">
        <v>4.0999999999999996</v>
      </c>
      <c r="I62" s="2">
        <v>15</v>
      </c>
      <c r="J62" s="2" t="s">
        <v>360</v>
      </c>
      <c r="K62" s="2" t="str">
        <f t="shared" si="4"/>
        <v>Low</v>
      </c>
      <c r="L62" s="2" t="str">
        <f t="shared" si="1"/>
        <v>Good</v>
      </c>
      <c r="M62" s="2" t="str">
        <f t="shared" si="2"/>
        <v>No Free Plan</v>
      </c>
      <c r="N62" s="14">
        <f t="shared" si="3"/>
        <v>3.8437499999999996</v>
      </c>
    </row>
    <row r="63" spans="1:14" x14ac:dyDescent="0.3">
      <c r="A63" s="2" t="s">
        <v>47</v>
      </c>
      <c r="B63" s="2" t="s">
        <v>179</v>
      </c>
      <c r="C63" s="2" t="s">
        <v>1</v>
      </c>
      <c r="D63" s="2" t="s">
        <v>294</v>
      </c>
      <c r="E63" s="4">
        <v>39</v>
      </c>
      <c r="F63" s="7">
        <v>2300</v>
      </c>
      <c r="G63" s="2">
        <v>4</v>
      </c>
      <c r="H63" s="2">
        <v>4.4000000000000004</v>
      </c>
      <c r="I63" s="2">
        <v>44</v>
      </c>
      <c r="J63" s="2" t="s">
        <v>361</v>
      </c>
      <c r="K63" s="2" t="str">
        <f t="shared" si="4"/>
        <v>Medium</v>
      </c>
      <c r="L63" s="2" t="str">
        <f t="shared" si="1"/>
        <v>Good</v>
      </c>
      <c r="M63" s="2" t="str">
        <f t="shared" si="2"/>
        <v>No Free Plan</v>
      </c>
      <c r="N63" s="14">
        <f t="shared" si="3"/>
        <v>4.8400000000000007</v>
      </c>
    </row>
    <row r="64" spans="1:14" x14ac:dyDescent="0.3">
      <c r="A64" s="2" t="s">
        <v>48</v>
      </c>
      <c r="B64" s="2" t="s">
        <v>179</v>
      </c>
      <c r="C64" s="2" t="s">
        <v>1</v>
      </c>
      <c r="D64" s="2" t="s">
        <v>293</v>
      </c>
      <c r="E64" s="4">
        <v>0</v>
      </c>
      <c r="F64" s="7">
        <v>29</v>
      </c>
      <c r="G64" s="2">
        <v>4</v>
      </c>
      <c r="H64" s="2">
        <v>4.2</v>
      </c>
      <c r="I64" s="2">
        <v>15</v>
      </c>
      <c r="J64" s="2" t="s">
        <v>362</v>
      </c>
      <c r="K64" s="2" t="str">
        <f t="shared" si="4"/>
        <v>Free</v>
      </c>
      <c r="L64" s="2" t="str">
        <f t="shared" si="1"/>
        <v>Good</v>
      </c>
      <c r="M64" s="2" t="str">
        <f t="shared" si="2"/>
        <v>Free Plan</v>
      </c>
      <c r="N64" s="14">
        <f t="shared" si="3"/>
        <v>63</v>
      </c>
    </row>
    <row r="65" spans="1:14" x14ac:dyDescent="0.3">
      <c r="A65" s="2" t="s">
        <v>49</v>
      </c>
      <c r="B65" s="2" t="s">
        <v>179</v>
      </c>
      <c r="C65" s="2" t="s">
        <v>1</v>
      </c>
      <c r="D65" s="2" t="s">
        <v>294</v>
      </c>
      <c r="E65" s="4">
        <v>25</v>
      </c>
      <c r="F65" s="7">
        <v>199</v>
      </c>
      <c r="G65" s="2">
        <v>4</v>
      </c>
      <c r="H65" s="2">
        <v>4.5999999999999996</v>
      </c>
      <c r="I65" s="2">
        <v>15</v>
      </c>
      <c r="J65" s="2" t="s">
        <v>363</v>
      </c>
      <c r="K65" s="2" t="str">
        <f t="shared" si="4"/>
        <v>Medium</v>
      </c>
      <c r="L65" s="2" t="str">
        <f t="shared" si="1"/>
        <v>Excellent</v>
      </c>
      <c r="M65" s="2" t="str">
        <f t="shared" si="2"/>
        <v>No Free Plan</v>
      </c>
      <c r="N65" s="14">
        <f t="shared" si="3"/>
        <v>2.6538461538461537</v>
      </c>
    </row>
    <row r="66" spans="1:14" x14ac:dyDescent="0.3">
      <c r="A66" s="2" t="s">
        <v>50</v>
      </c>
      <c r="B66" s="2" t="s">
        <v>179</v>
      </c>
      <c r="C66" s="2" t="s">
        <v>1</v>
      </c>
      <c r="D66" s="2" t="s">
        <v>293</v>
      </c>
      <c r="E66" s="4">
        <v>0</v>
      </c>
      <c r="F66" s="7">
        <v>22.9</v>
      </c>
      <c r="G66" s="2">
        <v>5</v>
      </c>
      <c r="H66" s="2">
        <v>3.9</v>
      </c>
      <c r="I66" s="2">
        <v>15</v>
      </c>
      <c r="J66" s="2" t="s">
        <v>364</v>
      </c>
      <c r="K66" s="2" t="str">
        <f t="shared" si="4"/>
        <v>Free</v>
      </c>
      <c r="L66" s="2" t="str">
        <f t="shared" si="1"/>
        <v>Average</v>
      </c>
      <c r="M66" s="2" t="str">
        <f t="shared" si="2"/>
        <v>Free Plan</v>
      </c>
      <c r="N66" s="14">
        <f t="shared" si="3"/>
        <v>58.5</v>
      </c>
    </row>
    <row r="67" spans="1:14" x14ac:dyDescent="0.3">
      <c r="A67" s="2" t="s">
        <v>51</v>
      </c>
      <c r="B67" s="2" t="s">
        <v>179</v>
      </c>
      <c r="C67" s="2" t="s">
        <v>1</v>
      </c>
      <c r="D67" s="2" t="s">
        <v>293</v>
      </c>
      <c r="E67" s="4">
        <v>0</v>
      </c>
      <c r="F67" s="7">
        <v>49</v>
      </c>
      <c r="G67" s="2">
        <v>4</v>
      </c>
      <c r="H67" s="2">
        <v>4.0999999999999996</v>
      </c>
      <c r="I67" s="2">
        <v>15</v>
      </c>
      <c r="J67" s="2" t="s">
        <v>365</v>
      </c>
      <c r="K67" s="2" t="str">
        <f t="shared" si="4"/>
        <v>Free</v>
      </c>
      <c r="L67" s="2" t="str">
        <f t="shared" ref="L67:L130" si="5">IF(H67&gt;=4.5,"Excellent",IF(H67&gt;=4,"Good","Average"))</f>
        <v>Good</v>
      </c>
      <c r="M67" s="2" t="str">
        <f t="shared" ref="M67:M130" si="6">IF(TRIM(UPPER(D67))="TRUE","Free Plan","No Free Plan")</f>
        <v>Free Plan</v>
      </c>
      <c r="N67" s="14">
        <f t="shared" ref="N67:N130" si="7">H67*I67/(E67+1)</f>
        <v>61.499999999999993</v>
      </c>
    </row>
    <row r="68" spans="1:14" x14ac:dyDescent="0.3">
      <c r="A68" s="2" t="s">
        <v>52</v>
      </c>
      <c r="B68" s="2" t="s">
        <v>179</v>
      </c>
      <c r="C68" s="2" t="s">
        <v>1</v>
      </c>
      <c r="D68" s="2" t="s">
        <v>294</v>
      </c>
      <c r="E68" s="4">
        <v>10</v>
      </c>
      <c r="F68" s="7">
        <v>60</v>
      </c>
      <c r="G68" s="2">
        <v>3</v>
      </c>
      <c r="H68" s="2">
        <v>4.5999999999999996</v>
      </c>
      <c r="I68" s="2">
        <v>15</v>
      </c>
      <c r="J68" s="2" t="s">
        <v>366</v>
      </c>
      <c r="K68" s="2" t="str">
        <f t="shared" si="4"/>
        <v>Low</v>
      </c>
      <c r="L68" s="2" t="str">
        <f t="shared" si="5"/>
        <v>Excellent</v>
      </c>
      <c r="M68" s="2" t="str">
        <f t="shared" si="6"/>
        <v>No Free Plan</v>
      </c>
      <c r="N68" s="14">
        <f t="shared" si="7"/>
        <v>6.2727272727272725</v>
      </c>
    </row>
    <row r="69" spans="1:14" x14ac:dyDescent="0.3">
      <c r="A69" s="2" t="s">
        <v>53</v>
      </c>
      <c r="B69" s="2" t="s">
        <v>179</v>
      </c>
      <c r="C69" s="2" t="s">
        <v>1</v>
      </c>
      <c r="D69" s="2" t="s">
        <v>293</v>
      </c>
      <c r="E69" s="4">
        <v>0</v>
      </c>
      <c r="F69" s="7">
        <v>50</v>
      </c>
      <c r="G69" s="2">
        <v>4</v>
      </c>
      <c r="H69" s="2">
        <v>4.5</v>
      </c>
      <c r="I69" s="2">
        <v>15</v>
      </c>
      <c r="J69" s="2" t="s">
        <v>367</v>
      </c>
      <c r="K69" s="2" t="str">
        <f t="shared" si="4"/>
        <v>Free</v>
      </c>
      <c r="L69" s="2" t="str">
        <f t="shared" si="5"/>
        <v>Excellent</v>
      </c>
      <c r="M69" s="2" t="str">
        <f t="shared" si="6"/>
        <v>Free Plan</v>
      </c>
      <c r="N69" s="14">
        <f t="shared" si="7"/>
        <v>67.5</v>
      </c>
    </row>
    <row r="70" spans="1:14" x14ac:dyDescent="0.3">
      <c r="A70" s="2" t="s">
        <v>54</v>
      </c>
      <c r="B70" s="2" t="s">
        <v>179</v>
      </c>
      <c r="C70" s="2" t="s">
        <v>1</v>
      </c>
      <c r="D70" s="2" t="s">
        <v>293</v>
      </c>
      <c r="E70" s="4">
        <v>0</v>
      </c>
      <c r="F70" s="7">
        <v>49</v>
      </c>
      <c r="G70" s="2">
        <v>4</v>
      </c>
      <c r="H70" s="2">
        <v>4.4000000000000004</v>
      </c>
      <c r="I70" s="2">
        <v>15</v>
      </c>
      <c r="J70" s="2" t="s">
        <v>368</v>
      </c>
      <c r="K70" s="2" t="str">
        <f t="shared" si="4"/>
        <v>Free</v>
      </c>
      <c r="L70" s="2" t="str">
        <f t="shared" si="5"/>
        <v>Good</v>
      </c>
      <c r="M70" s="2" t="str">
        <f t="shared" si="6"/>
        <v>Free Plan</v>
      </c>
      <c r="N70" s="14">
        <f t="shared" si="7"/>
        <v>66</v>
      </c>
    </row>
    <row r="71" spans="1:14" x14ac:dyDescent="0.3">
      <c r="A71" s="2" t="s">
        <v>55</v>
      </c>
      <c r="B71" s="2" t="s">
        <v>179</v>
      </c>
      <c r="C71" s="2" t="s">
        <v>1</v>
      </c>
      <c r="D71" s="2" t="s">
        <v>293</v>
      </c>
      <c r="E71" s="4">
        <v>0</v>
      </c>
      <c r="F71" s="7">
        <v>49</v>
      </c>
      <c r="G71" s="2">
        <v>3</v>
      </c>
      <c r="H71" s="2">
        <v>4.7</v>
      </c>
      <c r="I71" s="2">
        <v>15</v>
      </c>
      <c r="J71" s="2" t="s">
        <v>369</v>
      </c>
      <c r="K71" s="2" t="str">
        <f t="shared" si="4"/>
        <v>Free</v>
      </c>
      <c r="L71" s="2" t="str">
        <f t="shared" si="5"/>
        <v>Excellent</v>
      </c>
      <c r="M71" s="2" t="str">
        <f t="shared" si="6"/>
        <v>Free Plan</v>
      </c>
      <c r="N71" s="14">
        <f t="shared" si="7"/>
        <v>70.5</v>
      </c>
    </row>
    <row r="72" spans="1:14" x14ac:dyDescent="0.3">
      <c r="A72" s="2" t="s">
        <v>56</v>
      </c>
      <c r="B72" s="2" t="s">
        <v>180</v>
      </c>
      <c r="C72" s="2" t="s">
        <v>1</v>
      </c>
      <c r="D72" s="2" t="s">
        <v>294</v>
      </c>
      <c r="E72" s="4">
        <v>14</v>
      </c>
      <c r="F72" s="7">
        <v>54</v>
      </c>
      <c r="G72" s="2">
        <v>4</v>
      </c>
      <c r="H72" s="2">
        <v>4.5</v>
      </c>
      <c r="I72" s="2">
        <v>15</v>
      </c>
      <c r="J72" s="2" t="s">
        <v>370</v>
      </c>
      <c r="K72" s="2" t="str">
        <f t="shared" si="4"/>
        <v>Low</v>
      </c>
      <c r="L72" s="2" t="str">
        <f t="shared" si="5"/>
        <v>Excellent</v>
      </c>
      <c r="M72" s="2" t="str">
        <f t="shared" si="6"/>
        <v>No Free Plan</v>
      </c>
      <c r="N72" s="14">
        <f t="shared" si="7"/>
        <v>4.5</v>
      </c>
    </row>
    <row r="73" spans="1:14" x14ac:dyDescent="0.3">
      <c r="A73" s="2" t="s">
        <v>217</v>
      </c>
      <c r="B73" s="2" t="s">
        <v>180</v>
      </c>
      <c r="C73" s="2" t="s">
        <v>1</v>
      </c>
      <c r="D73" s="2" t="s">
        <v>293</v>
      </c>
      <c r="E73" s="4">
        <v>0</v>
      </c>
      <c r="F73" s="7">
        <v>8</v>
      </c>
      <c r="G73" s="2">
        <v>4</v>
      </c>
      <c r="H73" s="2">
        <v>4.5</v>
      </c>
      <c r="I73" s="2">
        <v>31</v>
      </c>
      <c r="J73" s="2" t="s">
        <v>371</v>
      </c>
      <c r="K73" s="2" t="str">
        <f t="shared" si="4"/>
        <v>Free</v>
      </c>
      <c r="L73" s="2" t="str">
        <f t="shared" si="5"/>
        <v>Excellent</v>
      </c>
      <c r="M73" s="2" t="str">
        <f t="shared" si="6"/>
        <v>Free Plan</v>
      </c>
      <c r="N73" s="14">
        <f t="shared" si="7"/>
        <v>139.5</v>
      </c>
    </row>
    <row r="74" spans="1:14" x14ac:dyDescent="0.3">
      <c r="A74" s="2" t="s">
        <v>57</v>
      </c>
      <c r="B74" s="2" t="s">
        <v>180</v>
      </c>
      <c r="C74" s="2" t="s">
        <v>1</v>
      </c>
      <c r="D74" s="2" t="s">
        <v>294</v>
      </c>
      <c r="E74" s="4">
        <v>2.99</v>
      </c>
      <c r="F74" s="7">
        <v>9.99</v>
      </c>
      <c r="G74" s="2">
        <v>3</v>
      </c>
      <c r="H74" s="2">
        <v>4.5</v>
      </c>
      <c r="I74" s="2">
        <v>15</v>
      </c>
      <c r="J74" s="2" t="s">
        <v>372</v>
      </c>
      <c r="K74" s="2" t="str">
        <f t="shared" si="4"/>
        <v>Low</v>
      </c>
      <c r="L74" s="2" t="str">
        <f t="shared" si="5"/>
        <v>Excellent</v>
      </c>
      <c r="M74" s="2" t="str">
        <f t="shared" si="6"/>
        <v>No Free Plan</v>
      </c>
      <c r="N74" s="14">
        <f t="shared" si="7"/>
        <v>16.917293233082706</v>
      </c>
    </row>
    <row r="75" spans="1:14" x14ac:dyDescent="0.3">
      <c r="A75" s="2" t="s">
        <v>218</v>
      </c>
      <c r="B75" s="2" t="s">
        <v>180</v>
      </c>
      <c r="C75" s="2" t="s">
        <v>1</v>
      </c>
      <c r="D75" s="2" t="s">
        <v>294</v>
      </c>
      <c r="E75" s="4">
        <v>2.99</v>
      </c>
      <c r="F75" s="7">
        <v>7.99</v>
      </c>
      <c r="G75" s="2">
        <v>3</v>
      </c>
      <c r="H75" s="2">
        <v>4.4000000000000004</v>
      </c>
      <c r="I75" s="2">
        <v>15</v>
      </c>
      <c r="J75" s="2" t="s">
        <v>373</v>
      </c>
      <c r="K75" s="2" t="str">
        <f t="shared" si="4"/>
        <v>Low</v>
      </c>
      <c r="L75" s="2" t="str">
        <f t="shared" si="5"/>
        <v>Good</v>
      </c>
      <c r="M75" s="2" t="str">
        <f t="shared" si="6"/>
        <v>No Free Plan</v>
      </c>
      <c r="N75" s="14">
        <f t="shared" si="7"/>
        <v>16.541353383458645</v>
      </c>
    </row>
    <row r="76" spans="1:14" x14ac:dyDescent="0.3">
      <c r="A76" s="2" t="s">
        <v>58</v>
      </c>
      <c r="B76" s="2" t="s">
        <v>180</v>
      </c>
      <c r="C76" s="2" t="s">
        <v>1</v>
      </c>
      <c r="D76" s="2" t="s">
        <v>294</v>
      </c>
      <c r="E76" s="4">
        <v>35</v>
      </c>
      <c r="F76" s="7">
        <v>675</v>
      </c>
      <c r="G76" s="2">
        <v>4</v>
      </c>
      <c r="H76" s="2">
        <v>4.8</v>
      </c>
      <c r="I76" s="2">
        <v>15</v>
      </c>
      <c r="J76" s="2" t="s">
        <v>374</v>
      </c>
      <c r="K76" s="2" t="str">
        <f t="shared" si="4"/>
        <v>Medium</v>
      </c>
      <c r="L76" s="2" t="str">
        <f t="shared" si="5"/>
        <v>Excellent</v>
      </c>
      <c r="M76" s="2" t="str">
        <f t="shared" si="6"/>
        <v>No Free Plan</v>
      </c>
      <c r="N76" s="14">
        <f t="shared" si="7"/>
        <v>2</v>
      </c>
    </row>
    <row r="77" spans="1:14" x14ac:dyDescent="0.3">
      <c r="A77" s="2" t="s">
        <v>59</v>
      </c>
      <c r="B77" s="2" t="s">
        <v>180</v>
      </c>
      <c r="C77" s="2" t="s">
        <v>1</v>
      </c>
      <c r="D77" s="2" t="s">
        <v>293</v>
      </c>
      <c r="E77" s="4">
        <v>0</v>
      </c>
      <c r="F77" s="7">
        <v>20</v>
      </c>
      <c r="G77" s="2">
        <v>3</v>
      </c>
      <c r="H77" s="2">
        <v>4.5</v>
      </c>
      <c r="I77" s="2">
        <v>22</v>
      </c>
      <c r="J77" s="2" t="s">
        <v>375</v>
      </c>
      <c r="K77" s="2" t="str">
        <f t="shared" si="4"/>
        <v>Free</v>
      </c>
      <c r="L77" s="2" t="str">
        <f t="shared" si="5"/>
        <v>Excellent</v>
      </c>
      <c r="M77" s="2" t="str">
        <f t="shared" si="6"/>
        <v>Free Plan</v>
      </c>
      <c r="N77" s="14">
        <f t="shared" si="7"/>
        <v>99</v>
      </c>
    </row>
    <row r="78" spans="1:14" x14ac:dyDescent="0.3">
      <c r="A78" s="2" t="s">
        <v>60</v>
      </c>
      <c r="B78" s="2" t="s">
        <v>180</v>
      </c>
      <c r="C78" s="2" t="s">
        <v>1</v>
      </c>
      <c r="D78" s="2" t="s">
        <v>293</v>
      </c>
      <c r="E78" s="4">
        <v>0</v>
      </c>
      <c r="F78" s="7">
        <v>19</v>
      </c>
      <c r="G78" s="2">
        <v>3</v>
      </c>
      <c r="H78" s="2">
        <v>4.5</v>
      </c>
      <c r="I78" s="2">
        <v>15</v>
      </c>
      <c r="J78" s="2" t="s">
        <v>376</v>
      </c>
      <c r="K78" s="2" t="str">
        <f t="shared" ref="K78:K141" si="8">IF(E78=0,"Free",IF(E78&lt;=20,"Low",IF(E78&lt;=50,"Medium","High")))</f>
        <v>Free</v>
      </c>
      <c r="L78" s="2" t="str">
        <f t="shared" si="5"/>
        <v>Excellent</v>
      </c>
      <c r="M78" s="2" t="str">
        <f t="shared" si="6"/>
        <v>Free Plan</v>
      </c>
      <c r="N78" s="14">
        <f t="shared" si="7"/>
        <v>67.5</v>
      </c>
    </row>
    <row r="79" spans="1:14" x14ac:dyDescent="0.3">
      <c r="A79" s="2" t="s">
        <v>219</v>
      </c>
      <c r="B79" s="2" t="s">
        <v>180</v>
      </c>
      <c r="C79" s="2" t="s">
        <v>1</v>
      </c>
      <c r="D79" s="2" t="s">
        <v>293</v>
      </c>
      <c r="E79" s="4">
        <v>0</v>
      </c>
      <c r="F79" s="7">
        <v>29</v>
      </c>
      <c r="G79" s="2">
        <v>3</v>
      </c>
      <c r="H79" s="2">
        <v>4.3</v>
      </c>
      <c r="I79" s="2">
        <v>15</v>
      </c>
      <c r="J79" s="2" t="s">
        <v>377</v>
      </c>
      <c r="K79" s="2" t="str">
        <f t="shared" si="8"/>
        <v>Free</v>
      </c>
      <c r="L79" s="2" t="str">
        <f t="shared" si="5"/>
        <v>Good</v>
      </c>
      <c r="M79" s="2" t="str">
        <f t="shared" si="6"/>
        <v>Free Plan</v>
      </c>
      <c r="N79" s="14">
        <f t="shared" si="7"/>
        <v>64.5</v>
      </c>
    </row>
    <row r="80" spans="1:14" x14ac:dyDescent="0.3">
      <c r="A80" s="2" t="s">
        <v>61</v>
      </c>
      <c r="B80" s="2" t="s">
        <v>180</v>
      </c>
      <c r="C80" s="2" t="s">
        <v>1</v>
      </c>
      <c r="D80" s="2" t="s">
        <v>293</v>
      </c>
      <c r="E80" s="4">
        <v>0</v>
      </c>
      <c r="F80" s="7">
        <v>20</v>
      </c>
      <c r="G80" s="2">
        <v>4</v>
      </c>
      <c r="H80" s="2">
        <v>4.5999999999999996</v>
      </c>
      <c r="I80" s="2">
        <v>15</v>
      </c>
      <c r="J80" s="2" t="s">
        <v>378</v>
      </c>
      <c r="K80" s="2" t="str">
        <f t="shared" si="8"/>
        <v>Free</v>
      </c>
      <c r="L80" s="2" t="str">
        <f t="shared" si="5"/>
        <v>Excellent</v>
      </c>
      <c r="M80" s="2" t="str">
        <f t="shared" si="6"/>
        <v>Free Plan</v>
      </c>
      <c r="N80" s="14">
        <f t="shared" si="7"/>
        <v>69</v>
      </c>
    </row>
    <row r="81" spans="1:14" x14ac:dyDescent="0.3">
      <c r="A81" s="2" t="s">
        <v>62</v>
      </c>
      <c r="B81" s="2" t="s">
        <v>180</v>
      </c>
      <c r="C81" s="2" t="s">
        <v>1</v>
      </c>
      <c r="D81" s="2" t="s">
        <v>293</v>
      </c>
      <c r="E81" s="4">
        <v>0</v>
      </c>
      <c r="F81" s="7">
        <v>19</v>
      </c>
      <c r="G81" s="2">
        <v>4</v>
      </c>
      <c r="H81" s="2">
        <v>4.4000000000000004</v>
      </c>
      <c r="I81" s="2">
        <v>17</v>
      </c>
      <c r="J81" s="2" t="s">
        <v>379</v>
      </c>
      <c r="K81" s="2" t="str">
        <f t="shared" si="8"/>
        <v>Free</v>
      </c>
      <c r="L81" s="2" t="str">
        <f t="shared" si="5"/>
        <v>Good</v>
      </c>
      <c r="M81" s="2" t="str">
        <f t="shared" si="6"/>
        <v>Free Plan</v>
      </c>
      <c r="N81" s="14">
        <f t="shared" si="7"/>
        <v>74.800000000000011</v>
      </c>
    </row>
    <row r="82" spans="1:14" x14ac:dyDescent="0.3">
      <c r="A82" s="2" t="s">
        <v>63</v>
      </c>
      <c r="B82" s="2" t="s">
        <v>180</v>
      </c>
      <c r="C82" s="2" t="s">
        <v>1</v>
      </c>
      <c r="D82" s="2" t="s">
        <v>294</v>
      </c>
      <c r="E82" s="4">
        <v>4.3499999999999996</v>
      </c>
      <c r="F82" s="7">
        <v>44</v>
      </c>
      <c r="G82" s="2">
        <v>4</v>
      </c>
      <c r="H82" s="2">
        <v>4.5999999999999996</v>
      </c>
      <c r="I82" s="2">
        <v>15</v>
      </c>
      <c r="J82" s="2" t="s">
        <v>380</v>
      </c>
      <c r="K82" s="2" t="str">
        <f t="shared" si="8"/>
        <v>Low</v>
      </c>
      <c r="L82" s="2" t="str">
        <f t="shared" si="5"/>
        <v>Excellent</v>
      </c>
      <c r="M82" s="2" t="str">
        <f t="shared" si="6"/>
        <v>No Free Plan</v>
      </c>
      <c r="N82" s="14">
        <f t="shared" si="7"/>
        <v>12.897196261682243</v>
      </c>
    </row>
    <row r="83" spans="1:14" x14ac:dyDescent="0.3">
      <c r="A83" s="2" t="s">
        <v>64</v>
      </c>
      <c r="B83" s="2" t="s">
        <v>180</v>
      </c>
      <c r="C83" s="2" t="s">
        <v>1</v>
      </c>
      <c r="D83" s="2" t="s">
        <v>293</v>
      </c>
      <c r="E83" s="4">
        <v>0</v>
      </c>
      <c r="F83" s="7">
        <v>120</v>
      </c>
      <c r="G83" s="2">
        <v>4</v>
      </c>
      <c r="H83" s="2">
        <v>4.4000000000000004</v>
      </c>
      <c r="I83" s="2">
        <v>15</v>
      </c>
      <c r="J83" s="2" t="s">
        <v>381</v>
      </c>
      <c r="K83" s="2" t="str">
        <f t="shared" si="8"/>
        <v>Free</v>
      </c>
      <c r="L83" s="2" t="str">
        <f t="shared" si="5"/>
        <v>Good</v>
      </c>
      <c r="M83" s="2" t="str">
        <f t="shared" si="6"/>
        <v>Free Plan</v>
      </c>
      <c r="N83" s="14">
        <f t="shared" si="7"/>
        <v>66</v>
      </c>
    </row>
    <row r="84" spans="1:14" x14ac:dyDescent="0.3">
      <c r="A84" s="2" t="s">
        <v>65</v>
      </c>
      <c r="B84" s="2" t="s">
        <v>180</v>
      </c>
      <c r="C84" s="2" t="s">
        <v>1</v>
      </c>
      <c r="D84" s="2" t="s">
        <v>293</v>
      </c>
      <c r="E84" s="4">
        <v>0</v>
      </c>
      <c r="F84" s="7">
        <v>24</v>
      </c>
      <c r="G84" s="2">
        <v>4</v>
      </c>
      <c r="H84" s="2">
        <v>4.3</v>
      </c>
      <c r="I84" s="2">
        <v>15</v>
      </c>
      <c r="J84" s="2" t="s">
        <v>382</v>
      </c>
      <c r="K84" s="2" t="str">
        <f t="shared" si="8"/>
        <v>Free</v>
      </c>
      <c r="L84" s="2" t="str">
        <f t="shared" si="5"/>
        <v>Good</v>
      </c>
      <c r="M84" s="2" t="str">
        <f t="shared" si="6"/>
        <v>Free Plan</v>
      </c>
      <c r="N84" s="14">
        <f t="shared" si="7"/>
        <v>64.5</v>
      </c>
    </row>
    <row r="85" spans="1:14" x14ac:dyDescent="0.3">
      <c r="A85" s="2" t="s">
        <v>66</v>
      </c>
      <c r="B85" s="2" t="s">
        <v>180</v>
      </c>
      <c r="C85" s="2" t="s">
        <v>1</v>
      </c>
      <c r="D85" s="2" t="s">
        <v>294</v>
      </c>
      <c r="E85" s="4">
        <v>2.99</v>
      </c>
      <c r="F85" s="7">
        <v>14.99</v>
      </c>
      <c r="G85" s="2">
        <v>4</v>
      </c>
      <c r="H85" s="2">
        <v>4.3</v>
      </c>
      <c r="I85" s="2">
        <v>15</v>
      </c>
      <c r="J85" s="2" t="s">
        <v>383</v>
      </c>
      <c r="K85" s="2" t="str">
        <f t="shared" si="8"/>
        <v>Low</v>
      </c>
      <c r="L85" s="2" t="str">
        <f t="shared" si="5"/>
        <v>Good</v>
      </c>
      <c r="M85" s="2" t="str">
        <f t="shared" si="6"/>
        <v>No Free Plan</v>
      </c>
      <c r="N85" s="14">
        <f t="shared" si="7"/>
        <v>16.165413533834585</v>
      </c>
    </row>
    <row r="86" spans="1:14" x14ac:dyDescent="0.3">
      <c r="A86" s="2" t="s">
        <v>67</v>
      </c>
      <c r="B86" s="2" t="s">
        <v>180</v>
      </c>
      <c r="C86" s="2" t="s">
        <v>1</v>
      </c>
      <c r="D86" s="2" t="s">
        <v>294</v>
      </c>
      <c r="E86" s="4">
        <v>2.95</v>
      </c>
      <c r="F86" s="7">
        <v>9.9499999999999993</v>
      </c>
      <c r="G86" s="2">
        <v>4</v>
      </c>
      <c r="H86" s="2">
        <v>3.7</v>
      </c>
      <c r="I86" s="2">
        <v>15</v>
      </c>
      <c r="J86" s="2" t="s">
        <v>384</v>
      </c>
      <c r="K86" s="2" t="str">
        <f t="shared" si="8"/>
        <v>Low</v>
      </c>
      <c r="L86" s="2" t="str">
        <f t="shared" si="5"/>
        <v>Average</v>
      </c>
      <c r="M86" s="2" t="str">
        <f t="shared" si="6"/>
        <v>No Free Plan</v>
      </c>
      <c r="N86" s="14">
        <f t="shared" si="7"/>
        <v>14.050632911392404</v>
      </c>
    </row>
    <row r="87" spans="1:14" x14ac:dyDescent="0.3">
      <c r="A87" s="2" t="s">
        <v>68</v>
      </c>
      <c r="B87" s="2" t="s">
        <v>180</v>
      </c>
      <c r="C87" s="2" t="s">
        <v>1</v>
      </c>
      <c r="D87" s="2" t="s">
        <v>294</v>
      </c>
      <c r="E87" s="4">
        <v>1.98</v>
      </c>
      <c r="F87" s="7">
        <v>4.9800000000000004</v>
      </c>
      <c r="G87" s="2">
        <v>3</v>
      </c>
      <c r="H87" s="2">
        <v>4.4000000000000004</v>
      </c>
      <c r="I87" s="2">
        <v>15</v>
      </c>
      <c r="J87" s="2" t="s">
        <v>385</v>
      </c>
      <c r="K87" s="2" t="str">
        <f t="shared" si="8"/>
        <v>Low</v>
      </c>
      <c r="L87" s="2" t="str">
        <f t="shared" si="5"/>
        <v>Good</v>
      </c>
      <c r="M87" s="2" t="str">
        <f t="shared" si="6"/>
        <v>No Free Plan</v>
      </c>
      <c r="N87" s="14">
        <f t="shared" si="7"/>
        <v>22.14765100671141</v>
      </c>
    </row>
    <row r="88" spans="1:14" x14ac:dyDescent="0.3">
      <c r="A88" s="2" t="s">
        <v>220</v>
      </c>
      <c r="B88" s="2" t="s">
        <v>180</v>
      </c>
      <c r="C88" s="2" t="s">
        <v>1</v>
      </c>
      <c r="D88" s="2" t="s">
        <v>294</v>
      </c>
      <c r="E88" s="4">
        <v>20</v>
      </c>
      <c r="F88" s="7">
        <v>193</v>
      </c>
      <c r="G88" s="2">
        <v>4</v>
      </c>
      <c r="H88" s="2">
        <v>4.4000000000000004</v>
      </c>
      <c r="I88" s="2">
        <v>15</v>
      </c>
      <c r="J88" s="2" t="s">
        <v>386</v>
      </c>
      <c r="K88" s="2" t="str">
        <f t="shared" si="8"/>
        <v>Low</v>
      </c>
      <c r="L88" s="2" t="str">
        <f t="shared" si="5"/>
        <v>Good</v>
      </c>
      <c r="M88" s="2" t="str">
        <f t="shared" si="6"/>
        <v>No Free Plan</v>
      </c>
      <c r="N88" s="14">
        <f t="shared" si="7"/>
        <v>3.1428571428571428</v>
      </c>
    </row>
    <row r="89" spans="1:14" x14ac:dyDescent="0.3">
      <c r="A89" s="2" t="s">
        <v>69</v>
      </c>
      <c r="B89" s="2" t="s">
        <v>181</v>
      </c>
      <c r="C89" s="2" t="s">
        <v>1</v>
      </c>
      <c r="D89" s="2" t="s">
        <v>293</v>
      </c>
      <c r="E89" s="4">
        <v>0</v>
      </c>
      <c r="F89" s="7">
        <v>90</v>
      </c>
      <c r="G89" s="2">
        <v>4</v>
      </c>
      <c r="H89" s="2">
        <v>4.7</v>
      </c>
      <c r="I89" s="2">
        <v>38</v>
      </c>
      <c r="J89" s="2" t="s">
        <v>387</v>
      </c>
      <c r="K89" s="2" t="str">
        <f t="shared" si="8"/>
        <v>Free</v>
      </c>
      <c r="L89" s="2" t="str">
        <f t="shared" si="5"/>
        <v>Excellent</v>
      </c>
      <c r="M89" s="2" t="str">
        <f t="shared" si="6"/>
        <v>Free Plan</v>
      </c>
      <c r="N89" s="14">
        <f t="shared" si="7"/>
        <v>178.6</v>
      </c>
    </row>
    <row r="90" spans="1:14" x14ac:dyDescent="0.3">
      <c r="A90" s="2" t="s">
        <v>70</v>
      </c>
      <c r="B90" s="2" t="s">
        <v>181</v>
      </c>
      <c r="C90" s="2" t="s">
        <v>1</v>
      </c>
      <c r="D90" s="2" t="s">
        <v>293</v>
      </c>
      <c r="E90" s="4">
        <v>0</v>
      </c>
      <c r="F90" s="7">
        <v>15</v>
      </c>
      <c r="G90" s="2">
        <v>4</v>
      </c>
      <c r="H90" s="2">
        <v>4.7</v>
      </c>
      <c r="I90" s="2">
        <v>15</v>
      </c>
      <c r="J90" s="2" t="s">
        <v>388</v>
      </c>
      <c r="K90" s="2" t="str">
        <f t="shared" si="8"/>
        <v>Free</v>
      </c>
      <c r="L90" s="2" t="str">
        <f t="shared" si="5"/>
        <v>Excellent</v>
      </c>
      <c r="M90" s="2" t="str">
        <f t="shared" si="6"/>
        <v>Free Plan</v>
      </c>
      <c r="N90" s="14">
        <f t="shared" si="7"/>
        <v>70.5</v>
      </c>
    </row>
    <row r="91" spans="1:14" x14ac:dyDescent="0.3">
      <c r="A91" s="2" t="s">
        <v>221</v>
      </c>
      <c r="B91" s="2" t="s">
        <v>181</v>
      </c>
      <c r="C91" s="2" t="s">
        <v>1</v>
      </c>
      <c r="D91" s="2" t="s">
        <v>294</v>
      </c>
      <c r="E91" s="4">
        <v>59.99</v>
      </c>
      <c r="F91" s="7">
        <v>59.99</v>
      </c>
      <c r="G91" s="2">
        <v>1</v>
      </c>
      <c r="H91" s="2">
        <v>4.3</v>
      </c>
      <c r="I91" s="2">
        <v>31</v>
      </c>
      <c r="J91" s="2" t="s">
        <v>389</v>
      </c>
      <c r="K91" s="2" t="str">
        <f t="shared" si="8"/>
        <v>High</v>
      </c>
      <c r="L91" s="2" t="str">
        <f t="shared" si="5"/>
        <v>Good</v>
      </c>
      <c r="M91" s="2" t="str">
        <f t="shared" si="6"/>
        <v>No Free Plan</v>
      </c>
      <c r="N91" s="14">
        <f t="shared" si="7"/>
        <v>2.1856041974094111</v>
      </c>
    </row>
    <row r="92" spans="1:14" x14ac:dyDescent="0.3">
      <c r="A92" s="2" t="s">
        <v>71</v>
      </c>
      <c r="B92" s="2" t="s">
        <v>181</v>
      </c>
      <c r="C92" s="2" t="s">
        <v>1</v>
      </c>
      <c r="D92" s="2" t="s">
        <v>294</v>
      </c>
      <c r="E92" s="4">
        <v>12</v>
      </c>
      <c r="F92" s="7">
        <v>44</v>
      </c>
      <c r="G92" s="2">
        <v>3</v>
      </c>
      <c r="H92" s="2">
        <v>4.5</v>
      </c>
      <c r="I92" s="2">
        <v>15</v>
      </c>
      <c r="J92" s="2" t="s">
        <v>390</v>
      </c>
      <c r="K92" s="2" t="str">
        <f t="shared" si="8"/>
        <v>Low</v>
      </c>
      <c r="L92" s="2" t="str">
        <f t="shared" si="5"/>
        <v>Excellent</v>
      </c>
      <c r="M92" s="2" t="str">
        <f t="shared" si="6"/>
        <v>No Free Plan</v>
      </c>
      <c r="N92" s="14">
        <f t="shared" si="7"/>
        <v>5.1923076923076925</v>
      </c>
    </row>
    <row r="93" spans="1:14" x14ac:dyDescent="0.3">
      <c r="A93" s="2" t="s">
        <v>72</v>
      </c>
      <c r="B93" s="2" t="s">
        <v>181</v>
      </c>
      <c r="C93" s="2" t="s">
        <v>1</v>
      </c>
      <c r="D93" s="2" t="s">
        <v>294</v>
      </c>
      <c r="E93" s="4">
        <v>69.989999999999995</v>
      </c>
      <c r="F93" s="7">
        <v>169.99</v>
      </c>
      <c r="G93" s="2">
        <v>3</v>
      </c>
      <c r="H93" s="2">
        <v>4.5</v>
      </c>
      <c r="I93" s="2">
        <v>27</v>
      </c>
      <c r="J93" s="2" t="s">
        <v>391</v>
      </c>
      <c r="K93" s="2" t="str">
        <f t="shared" si="8"/>
        <v>High</v>
      </c>
      <c r="L93" s="2" t="str">
        <f t="shared" si="5"/>
        <v>Excellent</v>
      </c>
      <c r="M93" s="2" t="str">
        <f t="shared" si="6"/>
        <v>No Free Plan</v>
      </c>
      <c r="N93" s="14">
        <f t="shared" si="7"/>
        <v>1.7115086631919989</v>
      </c>
    </row>
    <row r="94" spans="1:14" x14ac:dyDescent="0.3">
      <c r="A94" s="2" t="s">
        <v>73</v>
      </c>
      <c r="B94" s="2" t="s">
        <v>181</v>
      </c>
      <c r="C94" s="2" t="s">
        <v>1</v>
      </c>
      <c r="D94" s="2" t="s">
        <v>294</v>
      </c>
      <c r="E94" s="4">
        <v>22.99</v>
      </c>
      <c r="F94" s="7">
        <v>59.99</v>
      </c>
      <c r="G94" s="2">
        <v>2</v>
      </c>
      <c r="H94" s="2">
        <v>4.5999999999999996</v>
      </c>
      <c r="I94" s="2">
        <v>15</v>
      </c>
      <c r="J94" s="2" t="s">
        <v>392</v>
      </c>
      <c r="K94" s="2" t="str">
        <f t="shared" si="8"/>
        <v>Medium</v>
      </c>
      <c r="L94" s="2" t="str">
        <f t="shared" si="5"/>
        <v>Excellent</v>
      </c>
      <c r="M94" s="2" t="str">
        <f t="shared" si="6"/>
        <v>No Free Plan</v>
      </c>
      <c r="N94" s="14">
        <f t="shared" si="7"/>
        <v>2.8761984160066696</v>
      </c>
    </row>
    <row r="95" spans="1:14" x14ac:dyDescent="0.3">
      <c r="A95" s="2" t="s">
        <v>74</v>
      </c>
      <c r="B95" s="2" t="s">
        <v>181</v>
      </c>
      <c r="C95" s="2" t="s">
        <v>1</v>
      </c>
      <c r="D95" s="2" t="s">
        <v>294</v>
      </c>
      <c r="E95" s="4">
        <v>9.99</v>
      </c>
      <c r="F95" s="7">
        <v>59.99</v>
      </c>
      <c r="G95" s="2">
        <v>3</v>
      </c>
      <c r="H95" s="2">
        <v>4.5999999999999996</v>
      </c>
      <c r="I95" s="2">
        <v>15</v>
      </c>
      <c r="J95" s="2" t="s">
        <v>393</v>
      </c>
      <c r="K95" s="2" t="str">
        <f t="shared" si="8"/>
        <v>Low</v>
      </c>
      <c r="L95" s="2" t="str">
        <f t="shared" si="5"/>
        <v>Excellent</v>
      </c>
      <c r="M95" s="2" t="str">
        <f t="shared" si="6"/>
        <v>No Free Plan</v>
      </c>
      <c r="N95" s="14">
        <f t="shared" si="7"/>
        <v>6.2784349408553233</v>
      </c>
    </row>
    <row r="96" spans="1:14" x14ac:dyDescent="0.3">
      <c r="A96" s="2" t="s">
        <v>75</v>
      </c>
      <c r="B96" s="2" t="s">
        <v>181</v>
      </c>
      <c r="C96" s="2" t="s">
        <v>1</v>
      </c>
      <c r="D96" s="2" t="s">
        <v>293</v>
      </c>
      <c r="E96" s="4">
        <v>0</v>
      </c>
      <c r="F96" s="7">
        <v>14.99</v>
      </c>
      <c r="G96" s="2">
        <v>2</v>
      </c>
      <c r="H96" s="2">
        <v>4.5</v>
      </c>
      <c r="I96" s="2">
        <v>15</v>
      </c>
      <c r="J96" s="2" t="s">
        <v>394</v>
      </c>
      <c r="K96" s="2" t="str">
        <f t="shared" si="8"/>
        <v>Free</v>
      </c>
      <c r="L96" s="2" t="str">
        <f t="shared" si="5"/>
        <v>Excellent</v>
      </c>
      <c r="M96" s="2" t="str">
        <f t="shared" si="6"/>
        <v>Free Plan</v>
      </c>
      <c r="N96" s="14">
        <f t="shared" si="7"/>
        <v>67.5</v>
      </c>
    </row>
    <row r="97" spans="1:14" x14ac:dyDescent="0.3">
      <c r="A97" s="2" t="s">
        <v>76</v>
      </c>
      <c r="B97" s="2" t="s">
        <v>181</v>
      </c>
      <c r="C97" s="2" t="s">
        <v>1</v>
      </c>
      <c r="D97" s="2" t="s">
        <v>294</v>
      </c>
      <c r="E97" s="4">
        <v>12.99</v>
      </c>
      <c r="F97" s="7">
        <v>19.989999999999998</v>
      </c>
      <c r="G97" s="2">
        <v>2</v>
      </c>
      <c r="H97" s="2">
        <v>4.5999999999999996</v>
      </c>
      <c r="I97" s="2">
        <v>18</v>
      </c>
      <c r="J97" s="2" t="s">
        <v>395</v>
      </c>
      <c r="K97" s="2" t="str">
        <f t="shared" si="8"/>
        <v>Low</v>
      </c>
      <c r="L97" s="2" t="str">
        <f t="shared" si="5"/>
        <v>Excellent</v>
      </c>
      <c r="M97" s="2" t="str">
        <f t="shared" si="6"/>
        <v>No Free Plan</v>
      </c>
      <c r="N97" s="14">
        <f t="shared" si="7"/>
        <v>5.9185132237312361</v>
      </c>
    </row>
    <row r="98" spans="1:14" x14ac:dyDescent="0.3">
      <c r="A98" s="2" t="s">
        <v>77</v>
      </c>
      <c r="B98" s="2" t="s">
        <v>181</v>
      </c>
      <c r="C98" s="2" t="s">
        <v>1</v>
      </c>
      <c r="D98" s="2" t="s">
        <v>293</v>
      </c>
      <c r="E98" s="4">
        <v>0</v>
      </c>
      <c r="F98" s="7">
        <v>12.99</v>
      </c>
      <c r="G98" s="2">
        <v>4</v>
      </c>
      <c r="H98" s="2">
        <v>4.3</v>
      </c>
      <c r="I98" s="2">
        <v>15</v>
      </c>
      <c r="J98" s="2" t="s">
        <v>396</v>
      </c>
      <c r="K98" s="2" t="str">
        <f t="shared" si="8"/>
        <v>Free</v>
      </c>
      <c r="L98" s="2" t="str">
        <f t="shared" si="5"/>
        <v>Good</v>
      </c>
      <c r="M98" s="2" t="str">
        <f t="shared" si="6"/>
        <v>Free Plan</v>
      </c>
      <c r="N98" s="14">
        <f t="shared" si="7"/>
        <v>64.5</v>
      </c>
    </row>
    <row r="99" spans="1:14" x14ac:dyDescent="0.3">
      <c r="A99" s="2" t="s">
        <v>44</v>
      </c>
      <c r="B99" s="2" t="s">
        <v>181</v>
      </c>
      <c r="C99" s="2" t="s">
        <v>1</v>
      </c>
      <c r="D99" s="2" t="s">
        <v>293</v>
      </c>
      <c r="E99" s="4">
        <v>0</v>
      </c>
      <c r="F99" s="7">
        <v>30</v>
      </c>
      <c r="G99" s="2">
        <v>4</v>
      </c>
      <c r="H99" s="2">
        <v>4.5</v>
      </c>
      <c r="I99" s="2">
        <v>15</v>
      </c>
      <c r="J99" s="2" t="s">
        <v>358</v>
      </c>
      <c r="K99" s="2" t="str">
        <f t="shared" si="8"/>
        <v>Free</v>
      </c>
      <c r="L99" s="2" t="str">
        <f t="shared" si="5"/>
        <v>Excellent</v>
      </c>
      <c r="M99" s="2" t="str">
        <f t="shared" si="6"/>
        <v>Free Plan</v>
      </c>
      <c r="N99" s="14">
        <f t="shared" si="7"/>
        <v>67.5</v>
      </c>
    </row>
    <row r="100" spans="1:14" x14ac:dyDescent="0.3">
      <c r="A100" s="2" t="s">
        <v>78</v>
      </c>
      <c r="B100" s="2" t="s">
        <v>181</v>
      </c>
      <c r="C100" s="2" t="s">
        <v>1</v>
      </c>
      <c r="D100" s="2" t="s">
        <v>293</v>
      </c>
      <c r="E100" s="4">
        <v>0</v>
      </c>
      <c r="F100" s="7">
        <v>20</v>
      </c>
      <c r="G100" s="2">
        <v>3</v>
      </c>
      <c r="H100" s="2">
        <v>4.5</v>
      </c>
      <c r="I100" s="2">
        <v>15</v>
      </c>
      <c r="J100" s="2" t="s">
        <v>397</v>
      </c>
      <c r="K100" s="2" t="str">
        <f t="shared" si="8"/>
        <v>Free</v>
      </c>
      <c r="L100" s="2" t="str">
        <f t="shared" si="5"/>
        <v>Excellent</v>
      </c>
      <c r="M100" s="2" t="str">
        <f t="shared" si="6"/>
        <v>Free Plan</v>
      </c>
      <c r="N100" s="14">
        <f t="shared" si="7"/>
        <v>67.5</v>
      </c>
    </row>
    <row r="101" spans="1:14" x14ac:dyDescent="0.3">
      <c r="A101" s="2" t="s">
        <v>14</v>
      </c>
      <c r="B101" s="2" t="s">
        <v>181</v>
      </c>
      <c r="C101" s="2" t="s">
        <v>1</v>
      </c>
      <c r="D101" s="2" t="s">
        <v>293</v>
      </c>
      <c r="E101" s="4">
        <v>0</v>
      </c>
      <c r="F101" s="7">
        <v>20</v>
      </c>
      <c r="G101" s="2">
        <v>4</v>
      </c>
      <c r="H101" s="2">
        <v>4.8</v>
      </c>
      <c r="I101" s="2">
        <v>15</v>
      </c>
      <c r="J101" s="2" t="s">
        <v>315</v>
      </c>
      <c r="K101" s="2" t="str">
        <f t="shared" si="8"/>
        <v>Free</v>
      </c>
      <c r="L101" s="2" t="str">
        <f t="shared" si="5"/>
        <v>Excellent</v>
      </c>
      <c r="M101" s="2" t="str">
        <f t="shared" si="6"/>
        <v>Free Plan</v>
      </c>
      <c r="N101" s="14">
        <f t="shared" si="7"/>
        <v>72</v>
      </c>
    </row>
    <row r="102" spans="1:14" x14ac:dyDescent="0.3">
      <c r="A102" s="2" t="s">
        <v>79</v>
      </c>
      <c r="B102" s="2" t="s">
        <v>181</v>
      </c>
      <c r="C102" s="2" t="s">
        <v>1</v>
      </c>
      <c r="D102" s="2" t="s">
        <v>293</v>
      </c>
      <c r="E102" s="4">
        <v>0</v>
      </c>
      <c r="F102" s="7">
        <v>20</v>
      </c>
      <c r="G102" s="2">
        <v>3</v>
      </c>
      <c r="H102" s="2">
        <v>4.5999999999999996</v>
      </c>
      <c r="I102" s="2">
        <v>15</v>
      </c>
      <c r="J102" s="2" t="s">
        <v>398</v>
      </c>
      <c r="K102" s="2" t="str">
        <f t="shared" si="8"/>
        <v>Free</v>
      </c>
      <c r="L102" s="2" t="str">
        <f t="shared" si="5"/>
        <v>Excellent</v>
      </c>
      <c r="M102" s="2" t="str">
        <f t="shared" si="6"/>
        <v>Free Plan</v>
      </c>
      <c r="N102" s="14">
        <f t="shared" si="7"/>
        <v>69</v>
      </c>
    </row>
    <row r="103" spans="1:14" x14ac:dyDescent="0.3">
      <c r="A103" s="2" t="s">
        <v>222</v>
      </c>
      <c r="B103" s="2" t="s">
        <v>182</v>
      </c>
      <c r="C103" s="2" t="s">
        <v>1</v>
      </c>
      <c r="D103" s="2" t="s">
        <v>294</v>
      </c>
      <c r="E103" s="4">
        <v>38</v>
      </c>
      <c r="F103" s="7">
        <v>275</v>
      </c>
      <c r="G103" s="2">
        <v>4</v>
      </c>
      <c r="H103" s="2">
        <v>4</v>
      </c>
      <c r="I103" s="2">
        <v>43</v>
      </c>
      <c r="J103" s="2" t="s">
        <v>399</v>
      </c>
      <c r="K103" s="2" t="str">
        <f t="shared" si="8"/>
        <v>Medium</v>
      </c>
      <c r="L103" s="2" t="str">
        <f t="shared" si="5"/>
        <v>Good</v>
      </c>
      <c r="M103" s="2" t="str">
        <f t="shared" si="6"/>
        <v>No Free Plan</v>
      </c>
      <c r="N103" s="14">
        <f t="shared" si="7"/>
        <v>4.4102564102564106</v>
      </c>
    </row>
    <row r="104" spans="1:14" x14ac:dyDescent="0.3">
      <c r="A104" s="2" t="s">
        <v>80</v>
      </c>
      <c r="B104" s="2" t="s">
        <v>182</v>
      </c>
      <c r="C104" s="2" t="s">
        <v>1</v>
      </c>
      <c r="D104" s="2" t="s">
        <v>294</v>
      </c>
      <c r="E104" s="4">
        <v>25</v>
      </c>
      <c r="F104" s="7">
        <v>90</v>
      </c>
      <c r="G104" s="2">
        <v>3</v>
      </c>
      <c r="H104" s="2">
        <v>4.3</v>
      </c>
      <c r="I104" s="2">
        <v>15</v>
      </c>
      <c r="J104" s="2" t="s">
        <v>400</v>
      </c>
      <c r="K104" s="2" t="str">
        <f t="shared" si="8"/>
        <v>Medium</v>
      </c>
      <c r="L104" s="2" t="str">
        <f t="shared" si="5"/>
        <v>Good</v>
      </c>
      <c r="M104" s="2" t="str">
        <f t="shared" si="6"/>
        <v>No Free Plan</v>
      </c>
      <c r="N104" s="14">
        <f t="shared" si="7"/>
        <v>2.4807692307692308</v>
      </c>
    </row>
    <row r="105" spans="1:14" x14ac:dyDescent="0.3">
      <c r="A105" s="2" t="s">
        <v>223</v>
      </c>
      <c r="B105" s="2" t="s">
        <v>182</v>
      </c>
      <c r="C105" s="2" t="s">
        <v>1</v>
      </c>
      <c r="D105" s="2" t="s">
        <v>294</v>
      </c>
      <c r="E105" s="4">
        <v>23</v>
      </c>
      <c r="F105" s="7">
        <v>76</v>
      </c>
      <c r="G105" s="2">
        <v>4</v>
      </c>
      <c r="H105" s="2">
        <v>4.5</v>
      </c>
      <c r="I105" s="2">
        <v>27</v>
      </c>
      <c r="J105" s="2" t="s">
        <v>401</v>
      </c>
      <c r="K105" s="2" t="str">
        <f t="shared" si="8"/>
        <v>Medium</v>
      </c>
      <c r="L105" s="2" t="str">
        <f t="shared" si="5"/>
        <v>Excellent</v>
      </c>
      <c r="M105" s="2" t="str">
        <f t="shared" si="6"/>
        <v>No Free Plan</v>
      </c>
      <c r="N105" s="14">
        <f t="shared" si="7"/>
        <v>5.0625</v>
      </c>
    </row>
    <row r="106" spans="1:14" x14ac:dyDescent="0.3">
      <c r="A106" s="2" t="s">
        <v>81</v>
      </c>
      <c r="B106" s="2" t="s">
        <v>182</v>
      </c>
      <c r="C106" s="2" t="s">
        <v>1</v>
      </c>
      <c r="D106" s="2" t="s">
        <v>293</v>
      </c>
      <c r="E106" s="4">
        <v>0</v>
      </c>
      <c r="F106" s="7">
        <v>149</v>
      </c>
      <c r="G106" s="2">
        <v>4</v>
      </c>
      <c r="H106" s="2">
        <v>4.4000000000000004</v>
      </c>
      <c r="I106" s="2">
        <v>15</v>
      </c>
      <c r="J106" s="2" t="s">
        <v>402</v>
      </c>
      <c r="K106" s="2" t="str">
        <f t="shared" si="8"/>
        <v>Free</v>
      </c>
      <c r="L106" s="2" t="str">
        <f t="shared" si="5"/>
        <v>Good</v>
      </c>
      <c r="M106" s="2" t="str">
        <f t="shared" si="6"/>
        <v>Free Plan</v>
      </c>
      <c r="N106" s="14">
        <f t="shared" si="7"/>
        <v>66</v>
      </c>
    </row>
    <row r="107" spans="1:14" x14ac:dyDescent="0.3">
      <c r="A107" s="2" t="s">
        <v>82</v>
      </c>
      <c r="B107" s="2" t="s">
        <v>182</v>
      </c>
      <c r="C107" s="2" t="s">
        <v>1</v>
      </c>
      <c r="D107" s="2" t="s">
        <v>293</v>
      </c>
      <c r="E107" s="4">
        <v>0</v>
      </c>
      <c r="F107" s="7">
        <v>150</v>
      </c>
      <c r="G107" s="2">
        <v>5</v>
      </c>
      <c r="H107" s="2">
        <v>4.5</v>
      </c>
      <c r="I107" s="2">
        <v>35</v>
      </c>
      <c r="J107" s="2" t="s">
        <v>403</v>
      </c>
      <c r="K107" s="2" t="str">
        <f t="shared" si="8"/>
        <v>Free</v>
      </c>
      <c r="L107" s="2" t="str">
        <f t="shared" si="5"/>
        <v>Excellent</v>
      </c>
      <c r="M107" s="2" t="str">
        <f t="shared" si="6"/>
        <v>Free Plan</v>
      </c>
      <c r="N107" s="14">
        <f t="shared" si="7"/>
        <v>157.5</v>
      </c>
    </row>
    <row r="108" spans="1:14" x14ac:dyDescent="0.3">
      <c r="A108" s="2" t="s">
        <v>83</v>
      </c>
      <c r="B108" s="2" t="s">
        <v>182</v>
      </c>
      <c r="C108" s="2" t="s">
        <v>1</v>
      </c>
      <c r="D108" s="2" t="s">
        <v>294</v>
      </c>
      <c r="E108" s="4">
        <v>10</v>
      </c>
      <c r="F108" s="7">
        <v>25</v>
      </c>
      <c r="G108" s="2">
        <v>3</v>
      </c>
      <c r="H108" s="2">
        <v>4.0999999999999996</v>
      </c>
      <c r="I108" s="2">
        <v>15</v>
      </c>
      <c r="J108" s="2" t="s">
        <v>404</v>
      </c>
      <c r="K108" s="2" t="str">
        <f t="shared" si="8"/>
        <v>Low</v>
      </c>
      <c r="L108" s="2" t="str">
        <f t="shared" si="5"/>
        <v>Good</v>
      </c>
      <c r="M108" s="2" t="str">
        <f t="shared" si="6"/>
        <v>No Free Plan</v>
      </c>
      <c r="N108" s="14">
        <f t="shared" si="7"/>
        <v>5.5909090909090899</v>
      </c>
    </row>
    <row r="109" spans="1:14" x14ac:dyDescent="0.3">
      <c r="A109" s="2" t="s">
        <v>84</v>
      </c>
      <c r="B109" s="2" t="s">
        <v>182</v>
      </c>
      <c r="C109" s="2" t="s">
        <v>1</v>
      </c>
      <c r="D109" s="2" t="s">
        <v>294</v>
      </c>
      <c r="E109" s="4">
        <v>30</v>
      </c>
      <c r="F109" s="7">
        <v>30</v>
      </c>
      <c r="G109" s="2">
        <v>1</v>
      </c>
      <c r="H109" s="2">
        <v>4.0999999999999996</v>
      </c>
      <c r="I109" s="2">
        <v>15</v>
      </c>
      <c r="J109" s="2" t="s">
        <v>405</v>
      </c>
      <c r="K109" s="2" t="str">
        <f t="shared" si="8"/>
        <v>Medium</v>
      </c>
      <c r="L109" s="2" t="str">
        <f t="shared" si="5"/>
        <v>Good</v>
      </c>
      <c r="M109" s="2" t="str">
        <f t="shared" si="6"/>
        <v>No Free Plan</v>
      </c>
      <c r="N109" s="14">
        <f t="shared" si="7"/>
        <v>1.9838709677419353</v>
      </c>
    </row>
    <row r="110" spans="1:14" x14ac:dyDescent="0.3">
      <c r="A110" s="2" t="s">
        <v>85</v>
      </c>
      <c r="B110" s="2" t="s">
        <v>182</v>
      </c>
      <c r="C110" s="2" t="s">
        <v>1</v>
      </c>
      <c r="D110" s="2" t="s">
        <v>294</v>
      </c>
      <c r="E110" s="4">
        <v>189</v>
      </c>
      <c r="F110" s="7">
        <v>339</v>
      </c>
      <c r="G110" s="2">
        <v>2</v>
      </c>
      <c r="H110" s="2">
        <v>4.5</v>
      </c>
      <c r="I110" s="2">
        <v>15</v>
      </c>
      <c r="J110" s="2" t="s">
        <v>406</v>
      </c>
      <c r="K110" s="2" t="str">
        <f t="shared" si="8"/>
        <v>High</v>
      </c>
      <c r="L110" s="2" t="str">
        <f t="shared" si="5"/>
        <v>Excellent</v>
      </c>
      <c r="M110" s="2" t="str">
        <f t="shared" si="6"/>
        <v>No Free Plan</v>
      </c>
      <c r="N110" s="14">
        <f t="shared" si="7"/>
        <v>0.35526315789473684</v>
      </c>
    </row>
    <row r="111" spans="1:14" x14ac:dyDescent="0.3">
      <c r="A111" s="2" t="s">
        <v>224</v>
      </c>
      <c r="B111" s="2" t="s">
        <v>182</v>
      </c>
      <c r="C111" s="2" t="s">
        <v>1</v>
      </c>
      <c r="D111" s="2" t="s">
        <v>294</v>
      </c>
      <c r="E111" s="4">
        <v>19</v>
      </c>
      <c r="F111" s="7">
        <v>19</v>
      </c>
      <c r="G111" s="2">
        <v>1</v>
      </c>
      <c r="H111" s="2">
        <v>4.2</v>
      </c>
      <c r="I111" s="2">
        <v>15</v>
      </c>
      <c r="J111" s="2" t="s">
        <v>407</v>
      </c>
      <c r="K111" s="2" t="str">
        <f t="shared" si="8"/>
        <v>Low</v>
      </c>
      <c r="L111" s="2" t="str">
        <f t="shared" si="5"/>
        <v>Good</v>
      </c>
      <c r="M111" s="2" t="str">
        <f t="shared" si="6"/>
        <v>No Free Plan</v>
      </c>
      <c r="N111" s="14">
        <f t="shared" si="7"/>
        <v>3.15</v>
      </c>
    </row>
    <row r="112" spans="1:14" x14ac:dyDescent="0.3">
      <c r="A112" s="2" t="s">
        <v>86</v>
      </c>
      <c r="B112" s="2" t="s">
        <v>182</v>
      </c>
      <c r="C112" s="2" t="s">
        <v>1</v>
      </c>
      <c r="D112" s="2" t="s">
        <v>294</v>
      </c>
      <c r="E112" s="4">
        <v>9</v>
      </c>
      <c r="F112" s="7">
        <v>29</v>
      </c>
      <c r="G112" s="2">
        <v>3</v>
      </c>
      <c r="H112" s="2">
        <v>4.3</v>
      </c>
      <c r="I112" s="2">
        <v>15</v>
      </c>
      <c r="J112" s="2" t="s">
        <v>408</v>
      </c>
      <c r="K112" s="2" t="str">
        <f t="shared" si="8"/>
        <v>Low</v>
      </c>
      <c r="L112" s="2" t="str">
        <f t="shared" si="5"/>
        <v>Good</v>
      </c>
      <c r="M112" s="2" t="str">
        <f t="shared" si="6"/>
        <v>No Free Plan</v>
      </c>
      <c r="N112" s="14">
        <f t="shared" si="7"/>
        <v>6.45</v>
      </c>
    </row>
    <row r="113" spans="1:14" x14ac:dyDescent="0.3">
      <c r="A113" s="2" t="s">
        <v>87</v>
      </c>
      <c r="B113" s="2" t="s">
        <v>182</v>
      </c>
      <c r="C113" s="2" t="s">
        <v>1</v>
      </c>
      <c r="D113" s="2" t="s">
        <v>293</v>
      </c>
      <c r="E113" s="4">
        <v>0</v>
      </c>
      <c r="F113" s="7">
        <v>10.8</v>
      </c>
      <c r="G113" s="2">
        <v>2</v>
      </c>
      <c r="H113" s="2">
        <v>4.3</v>
      </c>
      <c r="I113" s="2">
        <v>15</v>
      </c>
      <c r="J113" s="2" t="s">
        <v>409</v>
      </c>
      <c r="K113" s="2" t="str">
        <f t="shared" si="8"/>
        <v>Free</v>
      </c>
      <c r="L113" s="2" t="str">
        <f t="shared" si="5"/>
        <v>Good</v>
      </c>
      <c r="M113" s="2" t="str">
        <f t="shared" si="6"/>
        <v>Free Plan</v>
      </c>
      <c r="N113" s="14">
        <f t="shared" si="7"/>
        <v>64.5</v>
      </c>
    </row>
    <row r="114" spans="1:14" x14ac:dyDescent="0.3">
      <c r="A114" s="2" t="s">
        <v>88</v>
      </c>
      <c r="B114" s="2" t="s">
        <v>182</v>
      </c>
      <c r="C114" s="2" t="s">
        <v>1</v>
      </c>
      <c r="D114" s="2" t="s">
        <v>293</v>
      </c>
      <c r="E114" s="4">
        <v>0</v>
      </c>
      <c r="F114" s="7">
        <v>15</v>
      </c>
      <c r="G114" s="2">
        <v>2</v>
      </c>
      <c r="H114" s="2">
        <v>4.2</v>
      </c>
      <c r="I114" s="2">
        <v>15</v>
      </c>
      <c r="J114" s="2" t="s">
        <v>410</v>
      </c>
      <c r="K114" s="2" t="str">
        <f t="shared" si="8"/>
        <v>Free</v>
      </c>
      <c r="L114" s="2" t="str">
        <f t="shared" si="5"/>
        <v>Good</v>
      </c>
      <c r="M114" s="2" t="str">
        <f t="shared" si="6"/>
        <v>Free Plan</v>
      </c>
      <c r="N114" s="14">
        <f t="shared" si="7"/>
        <v>63</v>
      </c>
    </row>
    <row r="115" spans="1:14" x14ac:dyDescent="0.3">
      <c r="A115" s="2" t="s">
        <v>225</v>
      </c>
      <c r="B115" s="2" t="s">
        <v>182</v>
      </c>
      <c r="C115" s="2" t="s">
        <v>1</v>
      </c>
      <c r="D115" s="2" t="s">
        <v>293</v>
      </c>
      <c r="E115" s="4">
        <v>0</v>
      </c>
      <c r="F115" s="7">
        <v>100</v>
      </c>
      <c r="G115" s="2">
        <v>3</v>
      </c>
      <c r="H115" s="2">
        <v>4.3</v>
      </c>
      <c r="I115" s="2">
        <v>15</v>
      </c>
      <c r="J115" s="2" t="s">
        <v>411</v>
      </c>
      <c r="K115" s="2" t="str">
        <f t="shared" si="8"/>
        <v>Free</v>
      </c>
      <c r="L115" s="2" t="str">
        <f t="shared" si="5"/>
        <v>Good</v>
      </c>
      <c r="M115" s="2" t="str">
        <f t="shared" si="6"/>
        <v>Free Plan</v>
      </c>
      <c r="N115" s="14">
        <f t="shared" si="7"/>
        <v>64.5</v>
      </c>
    </row>
    <row r="116" spans="1:14" x14ac:dyDescent="0.3">
      <c r="A116" s="2" t="s">
        <v>89</v>
      </c>
      <c r="B116" s="2" t="s">
        <v>182</v>
      </c>
      <c r="C116" s="2" t="s">
        <v>1</v>
      </c>
      <c r="D116" s="2" t="s">
        <v>293</v>
      </c>
      <c r="E116" s="4">
        <v>0</v>
      </c>
      <c r="F116" s="7">
        <v>16.670000000000002</v>
      </c>
      <c r="G116" s="2">
        <v>3</v>
      </c>
      <c r="H116" s="2">
        <v>4.0999999999999996</v>
      </c>
      <c r="I116" s="2">
        <v>15</v>
      </c>
      <c r="J116" s="2" t="s">
        <v>412</v>
      </c>
      <c r="K116" s="2" t="str">
        <f t="shared" si="8"/>
        <v>Free</v>
      </c>
      <c r="L116" s="2" t="str">
        <f t="shared" si="5"/>
        <v>Good</v>
      </c>
      <c r="M116" s="2" t="str">
        <f t="shared" si="6"/>
        <v>Free Plan</v>
      </c>
      <c r="N116" s="14">
        <f t="shared" si="7"/>
        <v>61.499999999999993</v>
      </c>
    </row>
    <row r="117" spans="1:14" x14ac:dyDescent="0.3">
      <c r="A117" s="2" t="s">
        <v>90</v>
      </c>
      <c r="B117" s="2" t="s">
        <v>182</v>
      </c>
      <c r="C117" s="2" t="s">
        <v>1</v>
      </c>
      <c r="D117" s="2" t="s">
        <v>294</v>
      </c>
      <c r="E117" s="4">
        <v>20</v>
      </c>
      <c r="F117" s="7">
        <v>37</v>
      </c>
      <c r="G117" s="2">
        <v>4</v>
      </c>
      <c r="H117" s="2">
        <v>4.5999999999999996</v>
      </c>
      <c r="I117" s="2">
        <v>15</v>
      </c>
      <c r="J117" s="2" t="s">
        <v>413</v>
      </c>
      <c r="K117" s="2" t="str">
        <f t="shared" si="8"/>
        <v>Low</v>
      </c>
      <c r="L117" s="2" t="str">
        <f t="shared" si="5"/>
        <v>Excellent</v>
      </c>
      <c r="M117" s="2" t="str">
        <f t="shared" si="6"/>
        <v>No Free Plan</v>
      </c>
      <c r="N117" s="14">
        <f t="shared" si="7"/>
        <v>3.2857142857142856</v>
      </c>
    </row>
    <row r="118" spans="1:14" x14ac:dyDescent="0.3">
      <c r="A118" s="2" t="s">
        <v>91</v>
      </c>
      <c r="B118" s="2" t="s">
        <v>183</v>
      </c>
      <c r="C118" s="2" t="s">
        <v>1</v>
      </c>
      <c r="D118" s="2" t="s">
        <v>293</v>
      </c>
      <c r="E118" s="4">
        <v>0</v>
      </c>
      <c r="F118" s="7">
        <v>22.49</v>
      </c>
      <c r="G118" s="2">
        <v>4</v>
      </c>
      <c r="H118" s="2">
        <v>4.5</v>
      </c>
      <c r="I118" s="2">
        <v>34</v>
      </c>
      <c r="J118" s="2" t="s">
        <v>414</v>
      </c>
      <c r="K118" s="2" t="str">
        <f t="shared" si="8"/>
        <v>Free</v>
      </c>
      <c r="L118" s="2" t="str">
        <f t="shared" si="5"/>
        <v>Excellent</v>
      </c>
      <c r="M118" s="2" t="str">
        <f t="shared" si="6"/>
        <v>Free Plan</v>
      </c>
      <c r="N118" s="14">
        <f t="shared" si="7"/>
        <v>153</v>
      </c>
    </row>
    <row r="119" spans="1:14" x14ac:dyDescent="0.3">
      <c r="A119" s="2" t="s">
        <v>92</v>
      </c>
      <c r="B119" s="2" t="s">
        <v>183</v>
      </c>
      <c r="C119" s="2" t="s">
        <v>1</v>
      </c>
      <c r="D119" s="2" t="s">
        <v>293</v>
      </c>
      <c r="E119" s="4">
        <v>0</v>
      </c>
      <c r="F119" s="7">
        <v>21.6</v>
      </c>
      <c r="G119" s="2">
        <v>4</v>
      </c>
      <c r="H119" s="2">
        <v>4.5999999999999996</v>
      </c>
      <c r="I119" s="2">
        <v>15</v>
      </c>
      <c r="J119" s="2" t="s">
        <v>415</v>
      </c>
      <c r="K119" s="2" t="str">
        <f t="shared" si="8"/>
        <v>Free</v>
      </c>
      <c r="L119" s="2" t="str">
        <f t="shared" si="5"/>
        <v>Excellent</v>
      </c>
      <c r="M119" s="2" t="str">
        <f t="shared" si="6"/>
        <v>Free Plan</v>
      </c>
      <c r="N119" s="14">
        <f t="shared" si="7"/>
        <v>69</v>
      </c>
    </row>
    <row r="120" spans="1:14" x14ac:dyDescent="0.3">
      <c r="A120" s="2" t="s">
        <v>93</v>
      </c>
      <c r="B120" s="2" t="s">
        <v>183</v>
      </c>
      <c r="C120" s="2" t="s">
        <v>1</v>
      </c>
      <c r="D120" s="2" t="s">
        <v>293</v>
      </c>
      <c r="E120" s="4">
        <v>0</v>
      </c>
      <c r="F120" s="7">
        <v>12.5</v>
      </c>
      <c r="G120" s="2">
        <v>4</v>
      </c>
      <c r="H120" s="2">
        <v>4.3</v>
      </c>
      <c r="I120" s="2">
        <v>15</v>
      </c>
      <c r="J120" s="2" t="s">
        <v>416</v>
      </c>
      <c r="K120" s="2" t="str">
        <f t="shared" si="8"/>
        <v>Free</v>
      </c>
      <c r="L120" s="2" t="str">
        <f t="shared" si="5"/>
        <v>Good</v>
      </c>
      <c r="M120" s="2" t="str">
        <f t="shared" si="6"/>
        <v>Free Plan</v>
      </c>
      <c r="N120" s="14">
        <f t="shared" si="7"/>
        <v>64.5</v>
      </c>
    </row>
    <row r="121" spans="1:14" x14ac:dyDescent="0.3">
      <c r="A121" s="2" t="s">
        <v>94</v>
      </c>
      <c r="B121" s="2" t="s">
        <v>183</v>
      </c>
      <c r="C121" s="2" t="s">
        <v>1</v>
      </c>
      <c r="D121" s="2" t="s">
        <v>293</v>
      </c>
      <c r="E121" s="4">
        <v>0</v>
      </c>
      <c r="F121" s="7">
        <v>11.99</v>
      </c>
      <c r="G121" s="2">
        <v>3</v>
      </c>
      <c r="H121" s="2">
        <v>4.5999999999999996</v>
      </c>
      <c r="I121" s="2">
        <v>16</v>
      </c>
      <c r="J121" s="2" t="s">
        <v>417</v>
      </c>
      <c r="K121" s="2" t="str">
        <f t="shared" si="8"/>
        <v>Free</v>
      </c>
      <c r="L121" s="2" t="str">
        <f t="shared" si="5"/>
        <v>Excellent</v>
      </c>
      <c r="M121" s="2" t="str">
        <f t="shared" si="6"/>
        <v>Free Plan</v>
      </c>
      <c r="N121" s="14">
        <f t="shared" si="7"/>
        <v>73.599999999999994</v>
      </c>
    </row>
    <row r="122" spans="1:14" x14ac:dyDescent="0.3">
      <c r="A122" s="2" t="s">
        <v>95</v>
      </c>
      <c r="B122" s="2" t="s">
        <v>183</v>
      </c>
      <c r="C122" s="2" t="s">
        <v>1</v>
      </c>
      <c r="D122" s="2" t="s">
        <v>293</v>
      </c>
      <c r="E122" s="4">
        <v>0</v>
      </c>
      <c r="F122" s="7">
        <v>24</v>
      </c>
      <c r="G122" s="2">
        <v>4</v>
      </c>
      <c r="H122" s="2">
        <v>4.7</v>
      </c>
      <c r="I122" s="2">
        <v>15</v>
      </c>
      <c r="J122" s="2" t="s">
        <v>418</v>
      </c>
      <c r="K122" s="2" t="str">
        <f t="shared" si="8"/>
        <v>Free</v>
      </c>
      <c r="L122" s="2" t="str">
        <f t="shared" si="5"/>
        <v>Excellent</v>
      </c>
      <c r="M122" s="2" t="str">
        <f t="shared" si="6"/>
        <v>Free Plan</v>
      </c>
      <c r="N122" s="14">
        <f t="shared" si="7"/>
        <v>70.5</v>
      </c>
    </row>
    <row r="123" spans="1:14" x14ac:dyDescent="0.3">
      <c r="A123" s="2" t="s">
        <v>226</v>
      </c>
      <c r="B123" s="2" t="s">
        <v>183</v>
      </c>
      <c r="C123" s="2" t="s">
        <v>1</v>
      </c>
      <c r="D123" s="2" t="s">
        <v>293</v>
      </c>
      <c r="E123" s="4">
        <v>0</v>
      </c>
      <c r="F123" s="7">
        <v>25</v>
      </c>
      <c r="G123" s="2">
        <v>4</v>
      </c>
      <c r="H123" s="2">
        <v>4.3</v>
      </c>
      <c r="I123" s="2">
        <v>36</v>
      </c>
      <c r="J123" s="2" t="s">
        <v>419</v>
      </c>
      <c r="K123" s="2" t="str">
        <f t="shared" si="8"/>
        <v>Free</v>
      </c>
      <c r="L123" s="2" t="str">
        <f t="shared" si="5"/>
        <v>Good</v>
      </c>
      <c r="M123" s="2" t="str">
        <f t="shared" si="6"/>
        <v>Free Plan</v>
      </c>
      <c r="N123" s="14">
        <f t="shared" si="7"/>
        <v>154.79999999999998</v>
      </c>
    </row>
    <row r="124" spans="1:14" x14ac:dyDescent="0.3">
      <c r="A124" s="2" t="s">
        <v>227</v>
      </c>
      <c r="B124" s="2" t="s">
        <v>183</v>
      </c>
      <c r="C124" s="2" t="s">
        <v>1</v>
      </c>
      <c r="D124" s="2" t="s">
        <v>294</v>
      </c>
      <c r="E124" s="4">
        <v>12</v>
      </c>
      <c r="F124" s="7">
        <v>16</v>
      </c>
      <c r="G124" s="2">
        <v>2</v>
      </c>
      <c r="H124" s="2">
        <v>4.2</v>
      </c>
      <c r="I124" s="2">
        <v>15</v>
      </c>
      <c r="J124" s="2" t="s">
        <v>420</v>
      </c>
      <c r="K124" s="2" t="str">
        <f t="shared" si="8"/>
        <v>Low</v>
      </c>
      <c r="L124" s="2" t="str">
        <f t="shared" si="5"/>
        <v>Good</v>
      </c>
      <c r="M124" s="2" t="str">
        <f t="shared" si="6"/>
        <v>No Free Plan</v>
      </c>
      <c r="N124" s="14">
        <f t="shared" si="7"/>
        <v>4.8461538461538458</v>
      </c>
    </row>
    <row r="125" spans="1:14" x14ac:dyDescent="0.3">
      <c r="A125" s="2" t="s">
        <v>96</v>
      </c>
      <c r="B125" s="2" t="s">
        <v>183</v>
      </c>
      <c r="C125" s="2" t="s">
        <v>1</v>
      </c>
      <c r="D125" s="2" t="s">
        <v>293</v>
      </c>
      <c r="E125" s="4">
        <v>0</v>
      </c>
      <c r="F125" s="7">
        <v>99</v>
      </c>
      <c r="G125" s="2">
        <v>4</v>
      </c>
      <c r="H125" s="2">
        <v>4.3</v>
      </c>
      <c r="I125" s="2">
        <v>15</v>
      </c>
      <c r="J125" s="2" t="s">
        <v>421</v>
      </c>
      <c r="K125" s="2" t="str">
        <f t="shared" si="8"/>
        <v>Free</v>
      </c>
      <c r="L125" s="2" t="str">
        <f t="shared" si="5"/>
        <v>Good</v>
      </c>
      <c r="M125" s="2" t="str">
        <f t="shared" si="6"/>
        <v>Free Plan</v>
      </c>
      <c r="N125" s="14">
        <f t="shared" si="7"/>
        <v>64.5</v>
      </c>
    </row>
    <row r="126" spans="1:14" x14ac:dyDescent="0.3">
      <c r="A126" s="2" t="s">
        <v>228</v>
      </c>
      <c r="B126" s="2" t="s">
        <v>183</v>
      </c>
      <c r="C126" s="2" t="s">
        <v>1</v>
      </c>
      <c r="D126" s="2" t="s">
        <v>293</v>
      </c>
      <c r="E126" s="4">
        <v>0</v>
      </c>
      <c r="F126" s="7">
        <v>29</v>
      </c>
      <c r="G126" s="2">
        <v>4</v>
      </c>
      <c r="H126" s="2">
        <v>4.8</v>
      </c>
      <c r="I126" s="2">
        <v>15</v>
      </c>
      <c r="J126" s="2" t="s">
        <v>422</v>
      </c>
      <c r="K126" s="2" t="str">
        <f t="shared" si="8"/>
        <v>Free</v>
      </c>
      <c r="L126" s="2" t="str">
        <f t="shared" si="5"/>
        <v>Excellent</v>
      </c>
      <c r="M126" s="2" t="str">
        <f t="shared" si="6"/>
        <v>Free Plan</v>
      </c>
      <c r="N126" s="14">
        <f t="shared" si="7"/>
        <v>72</v>
      </c>
    </row>
    <row r="127" spans="1:14" x14ac:dyDescent="0.3">
      <c r="A127" s="2" t="s">
        <v>97</v>
      </c>
      <c r="B127" s="2" t="s">
        <v>183</v>
      </c>
      <c r="C127" s="2" t="s">
        <v>1</v>
      </c>
      <c r="D127" s="2" t="s">
        <v>293</v>
      </c>
      <c r="E127" s="4">
        <v>0</v>
      </c>
      <c r="F127" s="7">
        <v>16.489999999999998</v>
      </c>
      <c r="G127" s="2">
        <v>3</v>
      </c>
      <c r="H127" s="2">
        <v>4.5</v>
      </c>
      <c r="I127" s="2">
        <v>15</v>
      </c>
      <c r="J127" s="2" t="s">
        <v>423</v>
      </c>
      <c r="K127" s="2" t="str">
        <f t="shared" si="8"/>
        <v>Free</v>
      </c>
      <c r="L127" s="2" t="str">
        <f t="shared" si="5"/>
        <v>Excellent</v>
      </c>
      <c r="M127" s="2" t="str">
        <f t="shared" si="6"/>
        <v>Free Plan</v>
      </c>
      <c r="N127" s="14">
        <f t="shared" si="7"/>
        <v>67.5</v>
      </c>
    </row>
    <row r="128" spans="1:14" x14ac:dyDescent="0.3">
      <c r="A128" s="2" t="s">
        <v>229</v>
      </c>
      <c r="B128" s="2" t="s">
        <v>183</v>
      </c>
      <c r="C128" s="2" t="s">
        <v>1</v>
      </c>
      <c r="D128" s="2" t="s">
        <v>293</v>
      </c>
      <c r="E128" s="4">
        <v>0</v>
      </c>
      <c r="F128" s="7">
        <v>12</v>
      </c>
      <c r="G128" s="2">
        <v>3</v>
      </c>
      <c r="H128" s="2">
        <v>4.7</v>
      </c>
      <c r="I128" s="2">
        <v>15</v>
      </c>
      <c r="J128" s="2" t="s">
        <v>424</v>
      </c>
      <c r="K128" s="2" t="str">
        <f t="shared" si="8"/>
        <v>Free</v>
      </c>
      <c r="L128" s="2" t="str">
        <f t="shared" si="5"/>
        <v>Excellent</v>
      </c>
      <c r="M128" s="2" t="str">
        <f t="shared" si="6"/>
        <v>Free Plan</v>
      </c>
      <c r="N128" s="14">
        <f t="shared" si="7"/>
        <v>70.5</v>
      </c>
    </row>
    <row r="129" spans="1:14" x14ac:dyDescent="0.3">
      <c r="A129" s="2" t="s">
        <v>98</v>
      </c>
      <c r="B129" s="2" t="s">
        <v>183</v>
      </c>
      <c r="C129" s="2" t="s">
        <v>1</v>
      </c>
      <c r="D129" s="2" t="s">
        <v>293</v>
      </c>
      <c r="E129" s="4">
        <v>0</v>
      </c>
      <c r="F129" s="7">
        <v>25</v>
      </c>
      <c r="G129" s="2">
        <v>3</v>
      </c>
      <c r="H129" s="2">
        <v>4.7</v>
      </c>
      <c r="I129" s="2">
        <v>15</v>
      </c>
      <c r="J129" s="2" t="s">
        <v>425</v>
      </c>
      <c r="K129" s="2" t="str">
        <f t="shared" si="8"/>
        <v>Free</v>
      </c>
      <c r="L129" s="2" t="str">
        <f t="shared" si="5"/>
        <v>Excellent</v>
      </c>
      <c r="M129" s="2" t="str">
        <f t="shared" si="6"/>
        <v>Free Plan</v>
      </c>
      <c r="N129" s="14">
        <f t="shared" si="7"/>
        <v>70.5</v>
      </c>
    </row>
    <row r="130" spans="1:14" x14ac:dyDescent="0.3">
      <c r="A130" s="2" t="s">
        <v>99</v>
      </c>
      <c r="B130" s="2" t="s">
        <v>183</v>
      </c>
      <c r="C130" s="2" t="s">
        <v>1</v>
      </c>
      <c r="D130" s="2" t="s">
        <v>294</v>
      </c>
      <c r="E130" s="4">
        <v>27</v>
      </c>
      <c r="F130" s="7">
        <v>35</v>
      </c>
      <c r="G130" s="2">
        <v>3</v>
      </c>
      <c r="H130" s="2">
        <v>4.4000000000000004</v>
      </c>
      <c r="I130" s="2">
        <v>15</v>
      </c>
      <c r="J130" s="2" t="s">
        <v>426</v>
      </c>
      <c r="K130" s="2" t="str">
        <f t="shared" si="8"/>
        <v>Medium</v>
      </c>
      <c r="L130" s="2" t="str">
        <f t="shared" si="5"/>
        <v>Good</v>
      </c>
      <c r="M130" s="2" t="str">
        <f t="shared" si="6"/>
        <v>No Free Plan</v>
      </c>
      <c r="N130" s="14">
        <f t="shared" si="7"/>
        <v>2.3571428571428572</v>
      </c>
    </row>
    <row r="131" spans="1:14" x14ac:dyDescent="0.3">
      <c r="A131" s="2" t="s">
        <v>100</v>
      </c>
      <c r="B131" s="2" t="s">
        <v>183</v>
      </c>
      <c r="C131" s="2" t="s">
        <v>1</v>
      </c>
      <c r="D131" s="2" t="s">
        <v>293</v>
      </c>
      <c r="E131" s="4">
        <v>0</v>
      </c>
      <c r="F131" s="7">
        <v>15</v>
      </c>
      <c r="G131" s="2">
        <v>4</v>
      </c>
      <c r="H131" s="2">
        <v>4.5</v>
      </c>
      <c r="I131" s="2">
        <v>15</v>
      </c>
      <c r="J131" s="2" t="s">
        <v>427</v>
      </c>
      <c r="K131" s="2" t="str">
        <f t="shared" si="8"/>
        <v>Free</v>
      </c>
      <c r="L131" s="2" t="str">
        <f t="shared" ref="L131:L194" si="9">IF(H131&gt;=4.5,"Excellent",IF(H131&gt;=4,"Good","Average"))</f>
        <v>Excellent</v>
      </c>
      <c r="M131" s="2" t="str">
        <f t="shared" ref="M131:M194" si="10">IF(TRIM(UPPER(D131))="TRUE","Free Plan","No Free Plan")</f>
        <v>Free Plan</v>
      </c>
      <c r="N131" s="14">
        <f t="shared" ref="N131:N194" si="11">H131*I131/(E131+1)</f>
        <v>67.5</v>
      </c>
    </row>
    <row r="132" spans="1:14" x14ac:dyDescent="0.3">
      <c r="A132" s="2" t="s">
        <v>230</v>
      </c>
      <c r="B132" s="2" t="s">
        <v>183</v>
      </c>
      <c r="C132" s="2" t="s">
        <v>1</v>
      </c>
      <c r="D132" s="2" t="s">
        <v>294</v>
      </c>
      <c r="E132" s="4">
        <v>30</v>
      </c>
      <c r="F132" s="7">
        <v>45</v>
      </c>
      <c r="G132" s="2">
        <v>3</v>
      </c>
      <c r="H132" s="2">
        <v>4.0999999999999996</v>
      </c>
      <c r="I132" s="2">
        <v>15</v>
      </c>
      <c r="J132" s="2" t="s">
        <v>428</v>
      </c>
      <c r="K132" s="2" t="str">
        <f t="shared" si="8"/>
        <v>Medium</v>
      </c>
      <c r="L132" s="2" t="str">
        <f t="shared" si="9"/>
        <v>Good</v>
      </c>
      <c r="M132" s="2" t="str">
        <f t="shared" si="10"/>
        <v>No Free Plan</v>
      </c>
      <c r="N132" s="14">
        <f t="shared" si="11"/>
        <v>1.9838709677419353</v>
      </c>
    </row>
    <row r="133" spans="1:14" x14ac:dyDescent="0.3">
      <c r="A133" s="2" t="s">
        <v>231</v>
      </c>
      <c r="B133" s="2" t="s">
        <v>177</v>
      </c>
      <c r="C133" s="2" t="s">
        <v>1</v>
      </c>
      <c r="D133" s="2" t="s">
        <v>294</v>
      </c>
      <c r="E133" s="4">
        <v>19</v>
      </c>
      <c r="F133" s="7">
        <v>135</v>
      </c>
      <c r="G133" s="2">
        <v>4</v>
      </c>
      <c r="H133" s="2">
        <v>3.8</v>
      </c>
      <c r="I133" s="2">
        <v>15</v>
      </c>
      <c r="J133" s="2" t="s">
        <v>429</v>
      </c>
      <c r="K133" s="2" t="str">
        <f t="shared" si="8"/>
        <v>Low</v>
      </c>
      <c r="L133" s="2" t="str">
        <f t="shared" si="9"/>
        <v>Average</v>
      </c>
      <c r="M133" s="2" t="str">
        <f t="shared" si="10"/>
        <v>No Free Plan</v>
      </c>
      <c r="N133" s="14">
        <f t="shared" si="11"/>
        <v>2.85</v>
      </c>
    </row>
    <row r="134" spans="1:14" x14ac:dyDescent="0.3">
      <c r="A134" s="2" t="s">
        <v>101</v>
      </c>
      <c r="B134" s="2" t="s">
        <v>177</v>
      </c>
      <c r="C134" s="2" t="s">
        <v>1</v>
      </c>
      <c r="D134" s="2" t="s">
        <v>294</v>
      </c>
      <c r="E134" s="4">
        <v>25</v>
      </c>
      <c r="F134" s="7">
        <v>149</v>
      </c>
      <c r="G134" s="2">
        <v>3</v>
      </c>
      <c r="H134" s="2">
        <v>4.2</v>
      </c>
      <c r="I134" s="2">
        <v>15</v>
      </c>
      <c r="J134" s="2" t="s">
        <v>430</v>
      </c>
      <c r="K134" s="2" t="str">
        <f t="shared" si="8"/>
        <v>Medium</v>
      </c>
      <c r="L134" s="2" t="str">
        <f t="shared" si="9"/>
        <v>Good</v>
      </c>
      <c r="M134" s="2" t="str">
        <f t="shared" si="10"/>
        <v>No Free Plan</v>
      </c>
      <c r="N134" s="14">
        <f t="shared" si="11"/>
        <v>2.4230769230769229</v>
      </c>
    </row>
    <row r="135" spans="1:14" x14ac:dyDescent="0.3">
      <c r="A135" s="2" t="s">
        <v>232</v>
      </c>
      <c r="B135" s="2" t="s">
        <v>180</v>
      </c>
      <c r="C135" s="2" t="s">
        <v>1</v>
      </c>
      <c r="D135" s="2" t="s">
        <v>294</v>
      </c>
      <c r="E135" s="4">
        <v>3.75</v>
      </c>
      <c r="F135" s="7">
        <v>6.25</v>
      </c>
      <c r="G135" s="2">
        <v>3</v>
      </c>
      <c r="H135" s="2">
        <v>3.5</v>
      </c>
      <c r="I135" s="2">
        <v>15</v>
      </c>
      <c r="J135" s="2" t="s">
        <v>431</v>
      </c>
      <c r="K135" s="2" t="str">
        <f t="shared" si="8"/>
        <v>Low</v>
      </c>
      <c r="L135" s="2" t="str">
        <f t="shared" si="9"/>
        <v>Average</v>
      </c>
      <c r="M135" s="2" t="str">
        <f t="shared" si="10"/>
        <v>No Free Plan</v>
      </c>
      <c r="N135" s="14">
        <f t="shared" si="11"/>
        <v>11.052631578947368</v>
      </c>
    </row>
    <row r="136" spans="1:14" x14ac:dyDescent="0.3">
      <c r="A136" s="2" t="s">
        <v>233</v>
      </c>
      <c r="B136" s="2" t="s">
        <v>179</v>
      </c>
      <c r="C136" s="2" t="s">
        <v>1</v>
      </c>
      <c r="D136" s="2" t="s">
        <v>293</v>
      </c>
      <c r="E136" s="4">
        <v>0</v>
      </c>
      <c r="F136" s="7">
        <v>1500</v>
      </c>
      <c r="G136" s="2">
        <v>4</v>
      </c>
      <c r="H136" s="2">
        <v>4.5</v>
      </c>
      <c r="I136" s="2">
        <v>15</v>
      </c>
      <c r="J136" s="2" t="s">
        <v>432</v>
      </c>
      <c r="K136" s="2" t="str">
        <f t="shared" si="8"/>
        <v>Free</v>
      </c>
      <c r="L136" s="2" t="str">
        <f t="shared" si="9"/>
        <v>Excellent</v>
      </c>
      <c r="M136" s="2" t="str">
        <f t="shared" si="10"/>
        <v>Free Plan</v>
      </c>
      <c r="N136" s="14">
        <f t="shared" si="11"/>
        <v>67.5</v>
      </c>
    </row>
    <row r="137" spans="1:14" x14ac:dyDescent="0.3">
      <c r="A137" s="2" t="s">
        <v>102</v>
      </c>
      <c r="B137" s="2" t="s">
        <v>179</v>
      </c>
      <c r="C137" s="2" t="s">
        <v>1</v>
      </c>
      <c r="D137" s="2" t="s">
        <v>293</v>
      </c>
      <c r="E137" s="4">
        <v>0</v>
      </c>
      <c r="F137" s="7">
        <v>45</v>
      </c>
      <c r="G137" s="2">
        <v>3</v>
      </c>
      <c r="H137" s="2">
        <v>4.5999999999999996</v>
      </c>
      <c r="I137" s="2">
        <v>15</v>
      </c>
      <c r="J137" s="2" t="s">
        <v>433</v>
      </c>
      <c r="K137" s="2" t="str">
        <f t="shared" si="8"/>
        <v>Free</v>
      </c>
      <c r="L137" s="2" t="str">
        <f t="shared" si="9"/>
        <v>Excellent</v>
      </c>
      <c r="M137" s="2" t="str">
        <f t="shared" si="10"/>
        <v>Free Plan</v>
      </c>
      <c r="N137" s="14">
        <f t="shared" si="11"/>
        <v>69</v>
      </c>
    </row>
    <row r="138" spans="1:14" x14ac:dyDescent="0.3">
      <c r="A138" s="2" t="s">
        <v>234</v>
      </c>
      <c r="B138" s="2" t="s">
        <v>179</v>
      </c>
      <c r="C138" s="2" t="s">
        <v>1</v>
      </c>
      <c r="D138" s="2" t="s">
        <v>294</v>
      </c>
      <c r="E138" s="4">
        <v>81</v>
      </c>
      <c r="F138" s="7">
        <v>248</v>
      </c>
      <c r="G138" s="2">
        <v>2</v>
      </c>
      <c r="H138" s="2">
        <v>4</v>
      </c>
      <c r="I138" s="2">
        <v>15</v>
      </c>
      <c r="J138" s="2" t="s">
        <v>434</v>
      </c>
      <c r="K138" s="2" t="str">
        <f t="shared" si="8"/>
        <v>High</v>
      </c>
      <c r="L138" s="2" t="str">
        <f t="shared" si="9"/>
        <v>Good</v>
      </c>
      <c r="M138" s="2" t="str">
        <f t="shared" si="10"/>
        <v>No Free Plan</v>
      </c>
      <c r="N138" s="14">
        <f t="shared" si="11"/>
        <v>0.73170731707317072</v>
      </c>
    </row>
    <row r="139" spans="1:14" x14ac:dyDescent="0.3">
      <c r="A139" s="2" t="s">
        <v>103</v>
      </c>
      <c r="B139" s="2" t="s">
        <v>178</v>
      </c>
      <c r="C139" s="2" t="s">
        <v>1</v>
      </c>
      <c r="D139" s="2" t="s">
        <v>293</v>
      </c>
      <c r="E139" s="4">
        <v>0</v>
      </c>
      <c r="F139" s="7">
        <v>27</v>
      </c>
      <c r="G139" s="2">
        <v>4</v>
      </c>
      <c r="H139" s="2">
        <v>4</v>
      </c>
      <c r="I139" s="2">
        <v>15</v>
      </c>
      <c r="J139" s="2" t="s">
        <v>435</v>
      </c>
      <c r="K139" s="2" t="str">
        <f t="shared" si="8"/>
        <v>Free</v>
      </c>
      <c r="L139" s="2" t="str">
        <f t="shared" si="9"/>
        <v>Good</v>
      </c>
      <c r="M139" s="2" t="str">
        <f t="shared" si="10"/>
        <v>Free Plan</v>
      </c>
      <c r="N139" s="14">
        <f t="shared" si="11"/>
        <v>60</v>
      </c>
    </row>
    <row r="140" spans="1:14" x14ac:dyDescent="0.3">
      <c r="A140" s="2" t="s">
        <v>235</v>
      </c>
      <c r="B140" s="2" t="s">
        <v>178</v>
      </c>
      <c r="C140" s="2" t="s">
        <v>1</v>
      </c>
      <c r="D140" s="2" t="s">
        <v>293</v>
      </c>
      <c r="E140" s="4">
        <v>0</v>
      </c>
      <c r="F140" s="7">
        <v>89.95</v>
      </c>
      <c r="G140" s="2">
        <v>4</v>
      </c>
      <c r="H140" s="2">
        <v>4</v>
      </c>
      <c r="I140" s="2">
        <v>15</v>
      </c>
      <c r="J140" s="2" t="s">
        <v>436</v>
      </c>
      <c r="K140" s="2" t="str">
        <f t="shared" si="8"/>
        <v>Free</v>
      </c>
      <c r="L140" s="2" t="str">
        <f t="shared" si="9"/>
        <v>Good</v>
      </c>
      <c r="M140" s="2" t="str">
        <f t="shared" si="10"/>
        <v>Free Plan</v>
      </c>
      <c r="N140" s="14">
        <f t="shared" si="11"/>
        <v>60</v>
      </c>
    </row>
    <row r="141" spans="1:14" x14ac:dyDescent="0.3">
      <c r="A141" s="2" t="s">
        <v>104</v>
      </c>
      <c r="B141" s="2" t="s">
        <v>183</v>
      </c>
      <c r="C141" s="2" t="s">
        <v>1</v>
      </c>
      <c r="D141" s="2" t="s">
        <v>294</v>
      </c>
      <c r="E141" s="4">
        <v>45</v>
      </c>
      <c r="F141" s="7">
        <v>196</v>
      </c>
      <c r="G141" s="2">
        <v>3</v>
      </c>
      <c r="H141" s="2">
        <v>4.4000000000000004</v>
      </c>
      <c r="I141" s="2">
        <v>15</v>
      </c>
      <c r="J141" s="2" t="s">
        <v>437</v>
      </c>
      <c r="K141" s="2" t="str">
        <f t="shared" si="8"/>
        <v>Medium</v>
      </c>
      <c r="L141" s="2" t="str">
        <f t="shared" si="9"/>
        <v>Good</v>
      </c>
      <c r="M141" s="2" t="str">
        <f t="shared" si="10"/>
        <v>No Free Plan</v>
      </c>
      <c r="N141" s="14">
        <f t="shared" si="11"/>
        <v>1.4347826086956521</v>
      </c>
    </row>
    <row r="142" spans="1:14" x14ac:dyDescent="0.3">
      <c r="A142" s="2" t="s">
        <v>236</v>
      </c>
      <c r="B142" s="2" t="s">
        <v>181</v>
      </c>
      <c r="C142" s="2" t="s">
        <v>1</v>
      </c>
      <c r="D142" s="2" t="s">
        <v>294</v>
      </c>
      <c r="E142" s="4">
        <v>399</v>
      </c>
      <c r="F142" s="7">
        <v>779</v>
      </c>
      <c r="G142" s="2">
        <v>3</v>
      </c>
      <c r="H142" s="2">
        <v>4.3</v>
      </c>
      <c r="I142" s="2">
        <v>15</v>
      </c>
      <c r="J142" s="2" t="s">
        <v>438</v>
      </c>
      <c r="K142" s="2" t="str">
        <f t="shared" ref="K142:K205" si="12">IF(E142=0,"Free",IF(E142&lt;=20,"Low",IF(E142&lt;=50,"Medium","High")))</f>
        <v>High</v>
      </c>
      <c r="L142" s="2" t="str">
        <f t="shared" si="9"/>
        <v>Good</v>
      </c>
      <c r="M142" s="2" t="str">
        <f t="shared" si="10"/>
        <v>No Free Plan</v>
      </c>
      <c r="N142" s="14">
        <f t="shared" si="11"/>
        <v>0.16125</v>
      </c>
    </row>
    <row r="143" spans="1:14" x14ac:dyDescent="0.3">
      <c r="A143" s="2" t="s">
        <v>237</v>
      </c>
      <c r="B143" s="2" t="s">
        <v>184</v>
      </c>
      <c r="C143" s="2" t="s">
        <v>291</v>
      </c>
      <c r="D143" s="2" t="s">
        <v>293</v>
      </c>
      <c r="E143" s="4">
        <v>0</v>
      </c>
      <c r="F143" s="7">
        <v>30</v>
      </c>
      <c r="G143" s="2">
        <v>3</v>
      </c>
      <c r="H143" s="2">
        <v>4.7</v>
      </c>
      <c r="I143" s="2">
        <v>15</v>
      </c>
      <c r="J143" s="2" t="s">
        <v>439</v>
      </c>
      <c r="K143" s="2" t="str">
        <f t="shared" si="12"/>
        <v>Free</v>
      </c>
      <c r="L143" s="2" t="str">
        <f t="shared" si="9"/>
        <v>Excellent</v>
      </c>
      <c r="M143" s="2" t="str">
        <f t="shared" si="10"/>
        <v>Free Plan</v>
      </c>
      <c r="N143" s="14">
        <f t="shared" si="11"/>
        <v>70.5</v>
      </c>
    </row>
    <row r="144" spans="1:14" x14ac:dyDescent="0.3">
      <c r="A144" s="2" t="s">
        <v>105</v>
      </c>
      <c r="B144" s="2" t="s">
        <v>184</v>
      </c>
      <c r="C144" s="2" t="s">
        <v>291</v>
      </c>
      <c r="D144" s="2" t="s">
        <v>293</v>
      </c>
      <c r="E144" s="4">
        <v>0</v>
      </c>
      <c r="F144" s="7">
        <v>20</v>
      </c>
      <c r="G144" s="2">
        <v>2</v>
      </c>
      <c r="H144" s="2">
        <v>4.5999999999999996</v>
      </c>
      <c r="I144" s="2">
        <v>8</v>
      </c>
      <c r="J144" s="2" t="s">
        <v>440</v>
      </c>
      <c r="K144" s="2" t="str">
        <f t="shared" si="12"/>
        <v>Free</v>
      </c>
      <c r="L144" s="2" t="str">
        <f t="shared" si="9"/>
        <v>Excellent</v>
      </c>
      <c r="M144" s="2" t="str">
        <f t="shared" si="10"/>
        <v>Free Plan</v>
      </c>
      <c r="N144" s="14">
        <f t="shared" si="11"/>
        <v>36.799999999999997</v>
      </c>
    </row>
    <row r="145" spans="1:14" x14ac:dyDescent="0.3">
      <c r="A145" s="2" t="s">
        <v>106</v>
      </c>
      <c r="B145" s="2" t="s">
        <v>184</v>
      </c>
      <c r="C145" s="2" t="s">
        <v>291</v>
      </c>
      <c r="D145" s="2" t="s">
        <v>293</v>
      </c>
      <c r="E145" s="4">
        <v>0</v>
      </c>
      <c r="F145" s="7">
        <v>20</v>
      </c>
      <c r="G145" s="2">
        <v>2</v>
      </c>
      <c r="H145" s="2">
        <v>4.3</v>
      </c>
      <c r="I145" s="2">
        <v>8</v>
      </c>
      <c r="J145" s="2" t="s">
        <v>441</v>
      </c>
      <c r="K145" s="2" t="str">
        <f t="shared" si="12"/>
        <v>Free</v>
      </c>
      <c r="L145" s="2" t="str">
        <f t="shared" si="9"/>
        <v>Good</v>
      </c>
      <c r="M145" s="2" t="str">
        <f t="shared" si="10"/>
        <v>Free Plan</v>
      </c>
      <c r="N145" s="14">
        <f t="shared" si="11"/>
        <v>34.4</v>
      </c>
    </row>
    <row r="146" spans="1:14" x14ac:dyDescent="0.3">
      <c r="A146" s="2" t="s">
        <v>107</v>
      </c>
      <c r="B146" s="2" t="s">
        <v>185</v>
      </c>
      <c r="C146" s="2" t="s">
        <v>291</v>
      </c>
      <c r="D146" s="2" t="s">
        <v>294</v>
      </c>
      <c r="E146" s="4">
        <v>39</v>
      </c>
      <c r="F146" s="7">
        <v>59</v>
      </c>
      <c r="G146" s="2">
        <v>3</v>
      </c>
      <c r="H146" s="2">
        <v>4.7</v>
      </c>
      <c r="I146" s="2">
        <v>28</v>
      </c>
      <c r="J146" s="2" t="s">
        <v>442</v>
      </c>
      <c r="K146" s="2" t="str">
        <f t="shared" si="12"/>
        <v>Medium</v>
      </c>
      <c r="L146" s="2" t="str">
        <f t="shared" si="9"/>
        <v>Excellent</v>
      </c>
      <c r="M146" s="2" t="str">
        <f t="shared" si="10"/>
        <v>No Free Plan</v>
      </c>
      <c r="N146" s="14">
        <f t="shared" si="11"/>
        <v>3.29</v>
      </c>
    </row>
    <row r="147" spans="1:14" x14ac:dyDescent="0.3">
      <c r="A147" s="2" t="s">
        <v>108</v>
      </c>
      <c r="B147" s="2" t="s">
        <v>185</v>
      </c>
      <c r="C147" s="2" t="s">
        <v>291</v>
      </c>
      <c r="D147" s="2" t="s">
        <v>293</v>
      </c>
      <c r="E147" s="4">
        <v>0</v>
      </c>
      <c r="F147" s="7">
        <v>12</v>
      </c>
      <c r="G147" s="2">
        <v>3</v>
      </c>
      <c r="H147" s="2">
        <v>4.7</v>
      </c>
      <c r="I147" s="2">
        <v>8</v>
      </c>
      <c r="J147" s="2" t="s">
        <v>443</v>
      </c>
      <c r="K147" s="2" t="str">
        <f t="shared" si="12"/>
        <v>Free</v>
      </c>
      <c r="L147" s="2" t="str">
        <f t="shared" si="9"/>
        <v>Excellent</v>
      </c>
      <c r="M147" s="2" t="str">
        <f t="shared" si="10"/>
        <v>Free Plan</v>
      </c>
      <c r="N147" s="14">
        <f t="shared" si="11"/>
        <v>37.6</v>
      </c>
    </row>
    <row r="148" spans="1:14" x14ac:dyDescent="0.3">
      <c r="A148" s="2" t="s">
        <v>109</v>
      </c>
      <c r="B148" s="2" t="s">
        <v>186</v>
      </c>
      <c r="C148" s="2" t="s">
        <v>1</v>
      </c>
      <c r="D148" s="2" t="s">
        <v>294</v>
      </c>
      <c r="E148" s="4">
        <v>2.99</v>
      </c>
      <c r="F148" s="7">
        <v>7.99</v>
      </c>
      <c r="G148" s="2">
        <v>3</v>
      </c>
      <c r="H148" s="2">
        <v>4.8</v>
      </c>
      <c r="I148" s="2">
        <v>28</v>
      </c>
      <c r="J148" s="2" t="s">
        <v>444</v>
      </c>
      <c r="K148" s="2" t="str">
        <f t="shared" si="12"/>
        <v>Low</v>
      </c>
      <c r="L148" s="2" t="str">
        <f t="shared" si="9"/>
        <v>Excellent</v>
      </c>
      <c r="M148" s="2" t="str">
        <f t="shared" si="10"/>
        <v>No Free Plan</v>
      </c>
      <c r="N148" s="14">
        <f t="shared" si="11"/>
        <v>33.684210526315788</v>
      </c>
    </row>
    <row r="149" spans="1:14" x14ac:dyDescent="0.3">
      <c r="A149" s="2" t="s">
        <v>110</v>
      </c>
      <c r="B149" s="2" t="s">
        <v>186</v>
      </c>
      <c r="C149" s="2" t="s">
        <v>1</v>
      </c>
      <c r="D149" s="2" t="s">
        <v>293</v>
      </c>
      <c r="E149" s="4">
        <v>0</v>
      </c>
      <c r="F149" s="7">
        <v>4</v>
      </c>
      <c r="G149" s="2">
        <v>3</v>
      </c>
      <c r="H149" s="2">
        <v>4.7</v>
      </c>
      <c r="I149" s="2">
        <v>8</v>
      </c>
      <c r="J149" s="2" t="s">
        <v>445</v>
      </c>
      <c r="K149" s="2" t="str">
        <f t="shared" si="12"/>
        <v>Free</v>
      </c>
      <c r="L149" s="2" t="str">
        <f t="shared" si="9"/>
        <v>Excellent</v>
      </c>
      <c r="M149" s="2" t="str">
        <f t="shared" si="10"/>
        <v>Free Plan</v>
      </c>
      <c r="N149" s="14">
        <f t="shared" si="11"/>
        <v>37.6</v>
      </c>
    </row>
    <row r="150" spans="1:14" x14ac:dyDescent="0.3">
      <c r="A150" s="2" t="s">
        <v>238</v>
      </c>
      <c r="B150" s="2" t="s">
        <v>186</v>
      </c>
      <c r="C150" s="2" t="s">
        <v>1</v>
      </c>
      <c r="D150" s="2" t="s">
        <v>293</v>
      </c>
      <c r="E150" s="4">
        <v>0</v>
      </c>
      <c r="F150" s="7">
        <v>4</v>
      </c>
      <c r="G150" s="2">
        <v>3</v>
      </c>
      <c r="H150" s="2">
        <v>4.4000000000000004</v>
      </c>
      <c r="I150" s="2">
        <v>24</v>
      </c>
      <c r="J150" s="2" t="s">
        <v>446</v>
      </c>
      <c r="K150" s="2" t="str">
        <f t="shared" si="12"/>
        <v>Free</v>
      </c>
      <c r="L150" s="2" t="str">
        <f t="shared" si="9"/>
        <v>Good</v>
      </c>
      <c r="M150" s="2" t="str">
        <f t="shared" si="10"/>
        <v>Free Plan</v>
      </c>
      <c r="N150" s="14">
        <f t="shared" si="11"/>
        <v>105.60000000000001</v>
      </c>
    </row>
    <row r="151" spans="1:14" x14ac:dyDescent="0.3">
      <c r="A151" s="2" t="s">
        <v>111</v>
      </c>
      <c r="B151" s="2" t="s">
        <v>186</v>
      </c>
      <c r="C151" s="2" t="s">
        <v>1</v>
      </c>
      <c r="D151" s="2" t="s">
        <v>293</v>
      </c>
      <c r="E151" s="4">
        <v>0</v>
      </c>
      <c r="F151" s="7">
        <v>8</v>
      </c>
      <c r="G151" s="2">
        <v>3</v>
      </c>
      <c r="H151" s="2">
        <v>4.5</v>
      </c>
      <c r="I151" s="2">
        <v>8</v>
      </c>
      <c r="J151" s="2" t="s">
        <v>447</v>
      </c>
      <c r="K151" s="2" t="str">
        <f t="shared" si="12"/>
        <v>Free</v>
      </c>
      <c r="L151" s="2" t="str">
        <f t="shared" si="9"/>
        <v>Excellent</v>
      </c>
      <c r="M151" s="2" t="str">
        <f t="shared" si="10"/>
        <v>Free Plan</v>
      </c>
      <c r="N151" s="14">
        <f t="shared" si="11"/>
        <v>36</v>
      </c>
    </row>
    <row r="152" spans="1:14" x14ac:dyDescent="0.3">
      <c r="A152" s="2" t="s">
        <v>239</v>
      </c>
      <c r="B152" s="2" t="s">
        <v>186</v>
      </c>
      <c r="C152" s="2" t="s">
        <v>1</v>
      </c>
      <c r="D152" s="2" t="s">
        <v>293</v>
      </c>
      <c r="E152" s="4">
        <v>0</v>
      </c>
      <c r="F152" s="7">
        <v>4.99</v>
      </c>
      <c r="G152" s="2">
        <v>3</v>
      </c>
      <c r="H152" s="2">
        <v>4.4000000000000004</v>
      </c>
      <c r="I152" s="2">
        <v>8</v>
      </c>
      <c r="J152" s="2" t="s">
        <v>448</v>
      </c>
      <c r="K152" s="2" t="str">
        <f t="shared" si="12"/>
        <v>Free</v>
      </c>
      <c r="L152" s="2" t="str">
        <f t="shared" si="9"/>
        <v>Good</v>
      </c>
      <c r="M152" s="2" t="str">
        <f t="shared" si="10"/>
        <v>Free Plan</v>
      </c>
      <c r="N152" s="14">
        <f t="shared" si="11"/>
        <v>35.200000000000003</v>
      </c>
    </row>
    <row r="153" spans="1:14" x14ac:dyDescent="0.3">
      <c r="A153" s="2" t="s">
        <v>240</v>
      </c>
      <c r="B153" s="2" t="s">
        <v>187</v>
      </c>
      <c r="C153" s="2" t="s">
        <v>1</v>
      </c>
      <c r="D153" s="2" t="s">
        <v>294</v>
      </c>
      <c r="E153" s="4">
        <v>3.99</v>
      </c>
      <c r="F153" s="7">
        <v>6.99</v>
      </c>
      <c r="G153" s="2">
        <v>3</v>
      </c>
      <c r="H153" s="2">
        <v>4.7</v>
      </c>
      <c r="I153" s="2">
        <v>19</v>
      </c>
      <c r="J153" s="2" t="s">
        <v>449</v>
      </c>
      <c r="K153" s="2" t="str">
        <f t="shared" si="12"/>
        <v>Low</v>
      </c>
      <c r="L153" s="2" t="str">
        <f t="shared" si="9"/>
        <v>Excellent</v>
      </c>
      <c r="M153" s="2" t="str">
        <f t="shared" si="10"/>
        <v>No Free Plan</v>
      </c>
      <c r="N153" s="14">
        <f t="shared" si="11"/>
        <v>17.895791583166332</v>
      </c>
    </row>
    <row r="154" spans="1:14" x14ac:dyDescent="0.3">
      <c r="A154" s="2" t="s">
        <v>241</v>
      </c>
      <c r="B154" s="2" t="s">
        <v>187</v>
      </c>
      <c r="C154" s="2" t="s">
        <v>1</v>
      </c>
      <c r="D154" s="2" t="s">
        <v>294</v>
      </c>
      <c r="E154" s="4">
        <v>12.95</v>
      </c>
      <c r="F154" s="7">
        <v>12.95</v>
      </c>
      <c r="G154" s="2">
        <v>3</v>
      </c>
      <c r="H154" s="2">
        <v>4.7</v>
      </c>
      <c r="I154" s="2">
        <v>8</v>
      </c>
      <c r="J154" s="2" t="s">
        <v>450</v>
      </c>
      <c r="K154" s="2" t="str">
        <f t="shared" si="12"/>
        <v>Low</v>
      </c>
      <c r="L154" s="2" t="str">
        <f t="shared" si="9"/>
        <v>Excellent</v>
      </c>
      <c r="M154" s="2" t="str">
        <f t="shared" si="10"/>
        <v>No Free Plan</v>
      </c>
      <c r="N154" s="14">
        <f t="shared" si="11"/>
        <v>2.6953405017921148</v>
      </c>
    </row>
    <row r="155" spans="1:14" x14ac:dyDescent="0.3">
      <c r="A155" s="2" t="s">
        <v>112</v>
      </c>
      <c r="B155" s="2" t="s">
        <v>187</v>
      </c>
      <c r="C155" s="2" t="s">
        <v>1</v>
      </c>
      <c r="D155" s="2" t="s">
        <v>294</v>
      </c>
      <c r="E155" s="4">
        <v>2.4900000000000002</v>
      </c>
      <c r="F155" s="7">
        <v>5.99</v>
      </c>
      <c r="G155" s="2">
        <v>3</v>
      </c>
      <c r="H155" s="2">
        <v>4.5</v>
      </c>
      <c r="I155" s="2">
        <v>21</v>
      </c>
      <c r="J155" s="2" t="s">
        <v>451</v>
      </c>
      <c r="K155" s="2" t="str">
        <f t="shared" si="12"/>
        <v>Low</v>
      </c>
      <c r="L155" s="2" t="str">
        <f t="shared" si="9"/>
        <v>Excellent</v>
      </c>
      <c r="M155" s="2" t="str">
        <f t="shared" si="10"/>
        <v>No Free Plan</v>
      </c>
      <c r="N155" s="14">
        <f t="shared" si="11"/>
        <v>27.077363896848137</v>
      </c>
    </row>
    <row r="156" spans="1:14" x14ac:dyDescent="0.3">
      <c r="A156" s="2" t="s">
        <v>242</v>
      </c>
      <c r="B156" s="2" t="s">
        <v>187</v>
      </c>
      <c r="C156" s="2" t="s">
        <v>1</v>
      </c>
      <c r="D156" s="2" t="s">
        <v>293</v>
      </c>
      <c r="E156" s="4">
        <v>0</v>
      </c>
      <c r="F156" s="7">
        <v>4.99</v>
      </c>
      <c r="G156" s="2">
        <v>2</v>
      </c>
      <c r="H156" s="2">
        <v>4.5</v>
      </c>
      <c r="I156" s="2">
        <v>8</v>
      </c>
      <c r="J156" s="2" t="s">
        <v>452</v>
      </c>
      <c r="K156" s="2" t="str">
        <f t="shared" si="12"/>
        <v>Free</v>
      </c>
      <c r="L156" s="2" t="str">
        <f t="shared" si="9"/>
        <v>Excellent</v>
      </c>
      <c r="M156" s="2" t="str">
        <f t="shared" si="10"/>
        <v>Free Plan</v>
      </c>
      <c r="N156" s="14">
        <f t="shared" si="11"/>
        <v>36</v>
      </c>
    </row>
    <row r="157" spans="1:14" x14ac:dyDescent="0.3">
      <c r="A157" s="2" t="s">
        <v>243</v>
      </c>
      <c r="B157" s="2" t="s">
        <v>187</v>
      </c>
      <c r="C157" s="2" t="s">
        <v>1</v>
      </c>
      <c r="D157" s="2" t="s">
        <v>294</v>
      </c>
      <c r="E157" s="4">
        <v>12.99</v>
      </c>
      <c r="F157" s="7">
        <v>12.99</v>
      </c>
      <c r="G157" s="2">
        <v>2</v>
      </c>
      <c r="H157" s="2">
        <v>4.3</v>
      </c>
      <c r="I157" s="2">
        <v>8</v>
      </c>
      <c r="J157" s="2" t="s">
        <v>453</v>
      </c>
      <c r="K157" s="2" t="str">
        <f t="shared" si="12"/>
        <v>Low</v>
      </c>
      <c r="L157" s="2" t="str">
        <f t="shared" si="9"/>
        <v>Good</v>
      </c>
      <c r="M157" s="2" t="str">
        <f t="shared" si="10"/>
        <v>No Free Plan</v>
      </c>
      <c r="N157" s="14">
        <f t="shared" si="11"/>
        <v>2.4588992137240884</v>
      </c>
    </row>
    <row r="158" spans="1:14" x14ac:dyDescent="0.3">
      <c r="A158" s="2" t="s">
        <v>113</v>
      </c>
      <c r="B158" s="2" t="s">
        <v>188</v>
      </c>
      <c r="C158" s="2" t="s">
        <v>291</v>
      </c>
      <c r="D158" s="2" t="s">
        <v>294</v>
      </c>
      <c r="E158" s="4">
        <v>10</v>
      </c>
      <c r="F158" s="7">
        <v>60</v>
      </c>
      <c r="G158" s="2">
        <v>3</v>
      </c>
      <c r="H158" s="2">
        <v>4.4000000000000004</v>
      </c>
      <c r="I158" s="2">
        <v>14</v>
      </c>
      <c r="J158" s="2" t="s">
        <v>454</v>
      </c>
      <c r="K158" s="2" t="str">
        <f t="shared" si="12"/>
        <v>Low</v>
      </c>
      <c r="L158" s="2" t="str">
        <f t="shared" si="9"/>
        <v>Good</v>
      </c>
      <c r="M158" s="2" t="str">
        <f t="shared" si="10"/>
        <v>No Free Plan</v>
      </c>
      <c r="N158" s="14">
        <f t="shared" si="11"/>
        <v>5.6000000000000005</v>
      </c>
    </row>
    <row r="159" spans="1:14" x14ac:dyDescent="0.3">
      <c r="A159" s="2" t="s">
        <v>244</v>
      </c>
      <c r="B159" s="2" t="s">
        <v>188</v>
      </c>
      <c r="C159" s="2" t="s">
        <v>291</v>
      </c>
      <c r="D159" s="2" t="s">
        <v>294</v>
      </c>
      <c r="E159" s="4">
        <v>20</v>
      </c>
      <c r="F159" s="7">
        <v>20</v>
      </c>
      <c r="G159" s="2">
        <v>1</v>
      </c>
      <c r="H159" s="2">
        <v>4.5</v>
      </c>
      <c r="I159" s="2">
        <v>12</v>
      </c>
      <c r="J159" s="2" t="s">
        <v>455</v>
      </c>
      <c r="K159" s="2" t="str">
        <f t="shared" si="12"/>
        <v>Low</v>
      </c>
      <c r="L159" s="2" t="str">
        <f t="shared" si="9"/>
        <v>Excellent</v>
      </c>
      <c r="M159" s="2" t="str">
        <f t="shared" si="10"/>
        <v>No Free Plan</v>
      </c>
      <c r="N159" s="14">
        <f t="shared" si="11"/>
        <v>2.5714285714285716</v>
      </c>
    </row>
    <row r="160" spans="1:14" x14ac:dyDescent="0.3">
      <c r="A160" s="2" t="s">
        <v>114</v>
      </c>
      <c r="B160" s="2" t="s">
        <v>188</v>
      </c>
      <c r="C160" s="2" t="s">
        <v>291</v>
      </c>
      <c r="D160" s="2" t="s">
        <v>293</v>
      </c>
      <c r="E160" s="4">
        <v>0</v>
      </c>
      <c r="F160" s="7">
        <v>20</v>
      </c>
      <c r="G160" s="2">
        <v>2</v>
      </c>
      <c r="H160" s="2">
        <v>4.3</v>
      </c>
      <c r="I160" s="2">
        <v>12</v>
      </c>
      <c r="J160" s="2" t="s">
        <v>456</v>
      </c>
      <c r="K160" s="2" t="str">
        <f t="shared" si="12"/>
        <v>Free</v>
      </c>
      <c r="L160" s="2" t="str">
        <f t="shared" si="9"/>
        <v>Good</v>
      </c>
      <c r="M160" s="2" t="str">
        <f t="shared" si="10"/>
        <v>Free Plan</v>
      </c>
      <c r="N160" s="14">
        <f t="shared" si="11"/>
        <v>51.599999999999994</v>
      </c>
    </row>
    <row r="161" spans="1:14" x14ac:dyDescent="0.3">
      <c r="A161" s="2" t="s">
        <v>115</v>
      </c>
      <c r="B161" s="2" t="s">
        <v>188</v>
      </c>
      <c r="C161" s="2" t="s">
        <v>291</v>
      </c>
      <c r="D161" s="2" t="s">
        <v>293</v>
      </c>
      <c r="E161" s="4">
        <v>0</v>
      </c>
      <c r="F161" s="7">
        <v>5</v>
      </c>
      <c r="G161" s="2">
        <v>2</v>
      </c>
      <c r="H161" s="2">
        <v>4.4000000000000004</v>
      </c>
      <c r="I161" s="2">
        <v>12</v>
      </c>
      <c r="J161" s="2" t="s">
        <v>457</v>
      </c>
      <c r="K161" s="2" t="str">
        <f t="shared" si="12"/>
        <v>Free</v>
      </c>
      <c r="L161" s="2" t="str">
        <f t="shared" si="9"/>
        <v>Good</v>
      </c>
      <c r="M161" s="2" t="str">
        <f t="shared" si="10"/>
        <v>Free Plan</v>
      </c>
      <c r="N161" s="14">
        <f t="shared" si="11"/>
        <v>52.800000000000004</v>
      </c>
    </row>
    <row r="162" spans="1:14" x14ac:dyDescent="0.3">
      <c r="A162" s="2" t="s">
        <v>245</v>
      </c>
      <c r="B162" s="2" t="s">
        <v>188</v>
      </c>
      <c r="C162" s="2" t="s">
        <v>291</v>
      </c>
      <c r="D162" s="2" t="s">
        <v>293</v>
      </c>
      <c r="E162" s="4">
        <v>0</v>
      </c>
      <c r="F162" s="7">
        <v>30</v>
      </c>
      <c r="G162" s="2">
        <v>3</v>
      </c>
      <c r="H162" s="2">
        <v>4.5</v>
      </c>
      <c r="I162" s="2">
        <v>12</v>
      </c>
      <c r="J162" s="2" t="s">
        <v>458</v>
      </c>
      <c r="K162" s="2" t="str">
        <f t="shared" si="12"/>
        <v>Free</v>
      </c>
      <c r="L162" s="2" t="str">
        <f t="shared" si="9"/>
        <v>Excellent</v>
      </c>
      <c r="M162" s="2" t="str">
        <f t="shared" si="10"/>
        <v>Free Plan</v>
      </c>
      <c r="N162" s="14">
        <f t="shared" si="11"/>
        <v>54</v>
      </c>
    </row>
    <row r="163" spans="1:14" x14ac:dyDescent="0.3">
      <c r="A163" s="2" t="s">
        <v>116</v>
      </c>
      <c r="B163" s="2" t="s">
        <v>189</v>
      </c>
      <c r="C163" s="2" t="s">
        <v>291</v>
      </c>
      <c r="D163" s="2" t="s">
        <v>293</v>
      </c>
      <c r="E163" s="4">
        <v>0</v>
      </c>
      <c r="F163" s="7">
        <v>89</v>
      </c>
      <c r="G163" s="2">
        <v>4</v>
      </c>
      <c r="H163" s="2">
        <v>4.7</v>
      </c>
      <c r="I163" s="2">
        <v>12</v>
      </c>
      <c r="J163" s="2" t="s">
        <v>459</v>
      </c>
      <c r="K163" s="2" t="str">
        <f t="shared" si="12"/>
        <v>Free</v>
      </c>
      <c r="L163" s="2" t="str">
        <f t="shared" si="9"/>
        <v>Excellent</v>
      </c>
      <c r="M163" s="2" t="str">
        <f t="shared" si="10"/>
        <v>Free Plan</v>
      </c>
      <c r="N163" s="14">
        <f t="shared" si="11"/>
        <v>56.400000000000006</v>
      </c>
    </row>
    <row r="164" spans="1:14" x14ac:dyDescent="0.3">
      <c r="A164" s="2" t="s">
        <v>246</v>
      </c>
      <c r="B164" s="2" t="s">
        <v>189</v>
      </c>
      <c r="C164" s="2" t="s">
        <v>291</v>
      </c>
      <c r="D164" s="2" t="s">
        <v>293</v>
      </c>
      <c r="E164" s="4">
        <v>0</v>
      </c>
      <c r="F164" s="7">
        <v>99</v>
      </c>
      <c r="G164" s="2">
        <v>3</v>
      </c>
      <c r="H164" s="2">
        <v>4.8</v>
      </c>
      <c r="I164" s="2">
        <v>12</v>
      </c>
      <c r="J164" s="2" t="s">
        <v>460</v>
      </c>
      <c r="K164" s="2" t="str">
        <f t="shared" si="12"/>
        <v>Free</v>
      </c>
      <c r="L164" s="2" t="str">
        <f t="shared" si="9"/>
        <v>Excellent</v>
      </c>
      <c r="M164" s="2" t="str">
        <f t="shared" si="10"/>
        <v>Free Plan</v>
      </c>
      <c r="N164" s="14">
        <f t="shared" si="11"/>
        <v>57.599999999999994</v>
      </c>
    </row>
    <row r="165" spans="1:14" x14ac:dyDescent="0.3">
      <c r="A165" s="2" t="s">
        <v>117</v>
      </c>
      <c r="B165" s="2" t="s">
        <v>189</v>
      </c>
      <c r="C165" s="2" t="s">
        <v>291</v>
      </c>
      <c r="D165" s="2" t="s">
        <v>293</v>
      </c>
      <c r="E165" s="4">
        <v>0</v>
      </c>
      <c r="F165" s="7">
        <v>76</v>
      </c>
      <c r="G165" s="2">
        <v>4</v>
      </c>
      <c r="H165" s="2">
        <v>4.5</v>
      </c>
      <c r="I165" s="2">
        <v>12</v>
      </c>
      <c r="J165" s="2" t="s">
        <v>461</v>
      </c>
      <c r="K165" s="2" t="str">
        <f t="shared" si="12"/>
        <v>Free</v>
      </c>
      <c r="L165" s="2" t="str">
        <f t="shared" si="9"/>
        <v>Excellent</v>
      </c>
      <c r="M165" s="2" t="str">
        <f t="shared" si="10"/>
        <v>Free Plan</v>
      </c>
      <c r="N165" s="14">
        <f t="shared" si="11"/>
        <v>54</v>
      </c>
    </row>
    <row r="166" spans="1:14" x14ac:dyDescent="0.3">
      <c r="A166" s="2" t="s">
        <v>118</v>
      </c>
      <c r="B166" s="2" t="s">
        <v>189</v>
      </c>
      <c r="C166" s="2" t="s">
        <v>291</v>
      </c>
      <c r="D166" s="2" t="s">
        <v>293</v>
      </c>
      <c r="E166" s="4">
        <v>0</v>
      </c>
      <c r="F166" s="7">
        <v>76</v>
      </c>
      <c r="G166" s="2">
        <v>4</v>
      </c>
      <c r="H166" s="2">
        <v>4.4000000000000004</v>
      </c>
      <c r="I166" s="2">
        <v>12</v>
      </c>
      <c r="J166" s="2" t="s">
        <v>462</v>
      </c>
      <c r="K166" s="2" t="str">
        <f t="shared" si="12"/>
        <v>Free</v>
      </c>
      <c r="L166" s="2" t="str">
        <f t="shared" si="9"/>
        <v>Good</v>
      </c>
      <c r="M166" s="2" t="str">
        <f t="shared" si="10"/>
        <v>Free Plan</v>
      </c>
      <c r="N166" s="14">
        <f t="shared" si="11"/>
        <v>52.800000000000004</v>
      </c>
    </row>
    <row r="167" spans="1:14" x14ac:dyDescent="0.3">
      <c r="A167" s="2" t="s">
        <v>247</v>
      </c>
      <c r="B167" s="2" t="s">
        <v>190</v>
      </c>
      <c r="C167" s="2" t="s">
        <v>291</v>
      </c>
      <c r="D167" s="2" t="s">
        <v>293</v>
      </c>
      <c r="E167" s="4">
        <v>0</v>
      </c>
      <c r="F167" s="7">
        <v>39</v>
      </c>
      <c r="G167" s="2">
        <v>5</v>
      </c>
      <c r="H167" s="2">
        <v>4.5</v>
      </c>
      <c r="I167" s="2">
        <v>16</v>
      </c>
      <c r="J167" s="2" t="s">
        <v>463</v>
      </c>
      <c r="K167" s="2" t="str">
        <f t="shared" si="12"/>
        <v>Free</v>
      </c>
      <c r="L167" s="2" t="str">
        <f t="shared" si="9"/>
        <v>Excellent</v>
      </c>
      <c r="M167" s="2" t="str">
        <f t="shared" si="10"/>
        <v>Free Plan</v>
      </c>
      <c r="N167" s="14">
        <f t="shared" si="11"/>
        <v>72</v>
      </c>
    </row>
    <row r="168" spans="1:14" x14ac:dyDescent="0.3">
      <c r="A168" s="2" t="s">
        <v>119</v>
      </c>
      <c r="B168" s="2" t="s">
        <v>190</v>
      </c>
      <c r="C168" s="2" t="s">
        <v>291</v>
      </c>
      <c r="D168" s="2" t="s">
        <v>293</v>
      </c>
      <c r="E168" s="4">
        <v>0</v>
      </c>
      <c r="F168" s="7">
        <v>40</v>
      </c>
      <c r="G168" s="2">
        <v>3</v>
      </c>
      <c r="H168" s="2">
        <v>4.7</v>
      </c>
      <c r="I168" s="2">
        <v>12</v>
      </c>
      <c r="J168" s="2" t="s">
        <v>464</v>
      </c>
      <c r="K168" s="2" t="str">
        <f t="shared" si="12"/>
        <v>Free</v>
      </c>
      <c r="L168" s="2" t="str">
        <f t="shared" si="9"/>
        <v>Excellent</v>
      </c>
      <c r="M168" s="2" t="str">
        <f t="shared" si="10"/>
        <v>Free Plan</v>
      </c>
      <c r="N168" s="14">
        <f t="shared" si="11"/>
        <v>56.400000000000006</v>
      </c>
    </row>
    <row r="169" spans="1:14" x14ac:dyDescent="0.3">
      <c r="A169" s="2" t="s">
        <v>120</v>
      </c>
      <c r="B169" s="2" t="s">
        <v>190</v>
      </c>
      <c r="C169" s="2" t="s">
        <v>291</v>
      </c>
      <c r="D169" s="2" t="s">
        <v>293</v>
      </c>
      <c r="E169" s="4">
        <v>0</v>
      </c>
      <c r="F169" s="7">
        <v>40</v>
      </c>
      <c r="G169" s="2">
        <v>4</v>
      </c>
      <c r="H169" s="2">
        <v>4.5999999999999996</v>
      </c>
      <c r="I169" s="2">
        <v>12</v>
      </c>
      <c r="J169" s="2" t="s">
        <v>465</v>
      </c>
      <c r="K169" s="2" t="str">
        <f t="shared" si="12"/>
        <v>Free</v>
      </c>
      <c r="L169" s="2" t="str">
        <f t="shared" si="9"/>
        <v>Excellent</v>
      </c>
      <c r="M169" s="2" t="str">
        <f t="shared" si="10"/>
        <v>Free Plan</v>
      </c>
      <c r="N169" s="14">
        <f t="shared" si="11"/>
        <v>55.199999999999996</v>
      </c>
    </row>
    <row r="170" spans="1:14" x14ac:dyDescent="0.3">
      <c r="A170" s="2" t="s">
        <v>248</v>
      </c>
      <c r="B170" s="2" t="s">
        <v>191</v>
      </c>
      <c r="C170" s="2" t="s">
        <v>291</v>
      </c>
      <c r="D170" s="2" t="s">
        <v>293</v>
      </c>
      <c r="E170" s="4">
        <v>0</v>
      </c>
      <c r="F170" s="7">
        <v>99</v>
      </c>
      <c r="G170" s="2">
        <v>4</v>
      </c>
      <c r="H170" s="2">
        <v>4.7</v>
      </c>
      <c r="I170" s="2">
        <v>12</v>
      </c>
      <c r="J170" s="2" t="s">
        <v>466</v>
      </c>
      <c r="K170" s="2" t="str">
        <f t="shared" si="12"/>
        <v>Free</v>
      </c>
      <c r="L170" s="2" t="str">
        <f t="shared" si="9"/>
        <v>Excellent</v>
      </c>
      <c r="M170" s="2" t="str">
        <f t="shared" si="10"/>
        <v>Free Plan</v>
      </c>
      <c r="N170" s="14">
        <f t="shared" si="11"/>
        <v>56.400000000000006</v>
      </c>
    </row>
    <row r="171" spans="1:14" x14ac:dyDescent="0.3">
      <c r="A171" s="2" t="s">
        <v>249</v>
      </c>
      <c r="B171" s="2" t="s">
        <v>191</v>
      </c>
      <c r="C171" s="2" t="s">
        <v>291</v>
      </c>
      <c r="D171" s="2" t="s">
        <v>293</v>
      </c>
      <c r="E171" s="4">
        <v>0</v>
      </c>
      <c r="F171" s="7">
        <v>66</v>
      </c>
      <c r="G171" s="2">
        <v>4</v>
      </c>
      <c r="H171" s="2">
        <v>4.7</v>
      </c>
      <c r="I171" s="2">
        <v>12</v>
      </c>
      <c r="J171" s="2" t="s">
        <v>467</v>
      </c>
      <c r="K171" s="2" t="str">
        <f t="shared" si="12"/>
        <v>Free</v>
      </c>
      <c r="L171" s="2" t="str">
        <f t="shared" si="9"/>
        <v>Excellent</v>
      </c>
      <c r="M171" s="2" t="str">
        <f t="shared" si="10"/>
        <v>Free Plan</v>
      </c>
      <c r="N171" s="14">
        <f t="shared" si="11"/>
        <v>56.400000000000006</v>
      </c>
    </row>
    <row r="172" spans="1:14" x14ac:dyDescent="0.3">
      <c r="A172" s="2" t="s">
        <v>250</v>
      </c>
      <c r="B172" s="2" t="s">
        <v>191</v>
      </c>
      <c r="C172" s="2" t="s">
        <v>291</v>
      </c>
      <c r="D172" s="2" t="s">
        <v>293</v>
      </c>
      <c r="E172" s="4">
        <v>0</v>
      </c>
      <c r="F172" s="7">
        <v>99</v>
      </c>
      <c r="G172" s="2">
        <v>3</v>
      </c>
      <c r="H172" s="2">
        <v>4.5</v>
      </c>
      <c r="I172" s="2">
        <v>12</v>
      </c>
      <c r="J172" s="2" t="s">
        <v>468</v>
      </c>
      <c r="K172" s="2" t="str">
        <f t="shared" si="12"/>
        <v>Free</v>
      </c>
      <c r="L172" s="2" t="str">
        <f t="shared" si="9"/>
        <v>Excellent</v>
      </c>
      <c r="M172" s="2" t="str">
        <f t="shared" si="10"/>
        <v>Free Plan</v>
      </c>
      <c r="N172" s="14">
        <f t="shared" si="11"/>
        <v>54</v>
      </c>
    </row>
    <row r="173" spans="1:14" x14ac:dyDescent="0.3">
      <c r="A173" s="2" t="s">
        <v>251</v>
      </c>
      <c r="B173" s="2" t="s">
        <v>192</v>
      </c>
      <c r="C173" s="2" t="s">
        <v>291</v>
      </c>
      <c r="D173" s="2" t="s">
        <v>293</v>
      </c>
      <c r="E173" s="4">
        <v>0</v>
      </c>
      <c r="F173" s="7">
        <v>60</v>
      </c>
      <c r="G173" s="2">
        <v>3</v>
      </c>
      <c r="H173" s="2">
        <v>4.7</v>
      </c>
      <c r="I173" s="2">
        <v>12</v>
      </c>
      <c r="J173" s="2" t="s">
        <v>469</v>
      </c>
      <c r="K173" s="2" t="str">
        <f t="shared" si="12"/>
        <v>Free</v>
      </c>
      <c r="L173" s="2" t="str">
        <f t="shared" si="9"/>
        <v>Excellent</v>
      </c>
      <c r="M173" s="2" t="str">
        <f t="shared" si="10"/>
        <v>Free Plan</v>
      </c>
      <c r="N173" s="14">
        <f t="shared" si="11"/>
        <v>56.400000000000006</v>
      </c>
    </row>
    <row r="174" spans="1:14" x14ac:dyDescent="0.3">
      <c r="A174" s="2" t="s">
        <v>121</v>
      </c>
      <c r="B174" s="2" t="s">
        <v>192</v>
      </c>
      <c r="C174" s="2" t="s">
        <v>291</v>
      </c>
      <c r="D174" s="2" t="s">
        <v>293</v>
      </c>
      <c r="E174" s="4">
        <v>0</v>
      </c>
      <c r="F174" s="7">
        <v>18</v>
      </c>
      <c r="G174" s="2">
        <v>3</v>
      </c>
      <c r="H174" s="2">
        <v>4.7</v>
      </c>
      <c r="I174" s="2">
        <v>12</v>
      </c>
      <c r="J174" s="2" t="s">
        <v>470</v>
      </c>
      <c r="K174" s="2" t="str">
        <f t="shared" si="12"/>
        <v>Free</v>
      </c>
      <c r="L174" s="2" t="str">
        <f t="shared" si="9"/>
        <v>Excellent</v>
      </c>
      <c r="M174" s="2" t="str">
        <f t="shared" si="10"/>
        <v>Free Plan</v>
      </c>
      <c r="N174" s="14">
        <f t="shared" si="11"/>
        <v>56.400000000000006</v>
      </c>
    </row>
    <row r="175" spans="1:14" x14ac:dyDescent="0.3">
      <c r="A175" s="2" t="s">
        <v>252</v>
      </c>
      <c r="B175" s="2" t="s">
        <v>193</v>
      </c>
      <c r="C175" s="2" t="s">
        <v>291</v>
      </c>
      <c r="D175" s="2" t="s">
        <v>293</v>
      </c>
      <c r="E175" s="4">
        <v>0</v>
      </c>
      <c r="F175" s="7">
        <v>20</v>
      </c>
      <c r="G175" s="2">
        <v>2</v>
      </c>
      <c r="H175" s="2">
        <v>4.5999999999999996</v>
      </c>
      <c r="I175" s="2">
        <v>12</v>
      </c>
      <c r="J175" s="2" t="s">
        <v>471</v>
      </c>
      <c r="K175" s="2" t="str">
        <f t="shared" si="12"/>
        <v>Free</v>
      </c>
      <c r="L175" s="2" t="str">
        <f t="shared" si="9"/>
        <v>Excellent</v>
      </c>
      <c r="M175" s="2" t="str">
        <f t="shared" si="10"/>
        <v>Free Plan</v>
      </c>
      <c r="N175" s="14">
        <f t="shared" si="11"/>
        <v>55.199999999999996</v>
      </c>
    </row>
    <row r="176" spans="1:14" x14ac:dyDescent="0.3">
      <c r="A176" s="2" t="s">
        <v>122</v>
      </c>
      <c r="B176" s="2" t="s">
        <v>184</v>
      </c>
      <c r="C176" s="2" t="s">
        <v>291</v>
      </c>
      <c r="D176" s="2" t="s">
        <v>293</v>
      </c>
      <c r="E176" s="4">
        <v>0</v>
      </c>
      <c r="F176" s="7">
        <v>20</v>
      </c>
      <c r="G176" s="2">
        <v>3</v>
      </c>
      <c r="H176" s="2">
        <v>4.5999999999999996</v>
      </c>
      <c r="I176" s="2">
        <v>12</v>
      </c>
      <c r="J176" s="2" t="s">
        <v>472</v>
      </c>
      <c r="K176" s="2" t="str">
        <f t="shared" si="12"/>
        <v>Free</v>
      </c>
      <c r="L176" s="2" t="str">
        <f t="shared" si="9"/>
        <v>Excellent</v>
      </c>
      <c r="M176" s="2" t="str">
        <f t="shared" si="10"/>
        <v>Free Plan</v>
      </c>
      <c r="N176" s="14">
        <f t="shared" si="11"/>
        <v>55.199999999999996</v>
      </c>
    </row>
    <row r="177" spans="1:14" x14ac:dyDescent="0.3">
      <c r="A177" s="2" t="s">
        <v>123</v>
      </c>
      <c r="B177" s="2" t="s">
        <v>185</v>
      </c>
      <c r="C177" s="2" t="s">
        <v>291</v>
      </c>
      <c r="D177" s="2" t="s">
        <v>293</v>
      </c>
      <c r="E177" s="4">
        <v>0</v>
      </c>
      <c r="F177" s="7">
        <v>199</v>
      </c>
      <c r="G177" s="2">
        <v>3</v>
      </c>
      <c r="H177" s="2">
        <v>4.7</v>
      </c>
      <c r="I177" s="2">
        <v>12</v>
      </c>
      <c r="J177" s="2" t="s">
        <v>473</v>
      </c>
      <c r="K177" s="2" t="str">
        <f t="shared" si="12"/>
        <v>Free</v>
      </c>
      <c r="L177" s="2" t="str">
        <f t="shared" si="9"/>
        <v>Excellent</v>
      </c>
      <c r="M177" s="2" t="str">
        <f t="shared" si="10"/>
        <v>Free Plan</v>
      </c>
      <c r="N177" s="14">
        <f t="shared" si="11"/>
        <v>56.400000000000006</v>
      </c>
    </row>
    <row r="178" spans="1:14" x14ac:dyDescent="0.3">
      <c r="A178" s="2" t="s">
        <v>253</v>
      </c>
      <c r="B178" s="2" t="s">
        <v>193</v>
      </c>
      <c r="C178" s="2" t="s">
        <v>291</v>
      </c>
      <c r="D178" s="2" t="s">
        <v>294</v>
      </c>
      <c r="E178" s="4">
        <v>10</v>
      </c>
      <c r="F178" s="7">
        <v>10</v>
      </c>
      <c r="G178" s="2">
        <v>1</v>
      </c>
      <c r="H178" s="2">
        <v>4.5999999999999996</v>
      </c>
      <c r="I178" s="2">
        <v>12</v>
      </c>
      <c r="J178" s="2" t="s">
        <v>474</v>
      </c>
      <c r="K178" s="2" t="str">
        <f t="shared" si="12"/>
        <v>Low</v>
      </c>
      <c r="L178" s="2" t="str">
        <f t="shared" si="9"/>
        <v>Excellent</v>
      </c>
      <c r="M178" s="2" t="str">
        <f t="shared" si="10"/>
        <v>No Free Plan</v>
      </c>
      <c r="N178" s="14">
        <f t="shared" si="11"/>
        <v>5.0181818181818176</v>
      </c>
    </row>
    <row r="179" spans="1:14" x14ac:dyDescent="0.3">
      <c r="A179" s="2" t="s">
        <v>124</v>
      </c>
      <c r="B179" s="2" t="s">
        <v>185</v>
      </c>
      <c r="C179" s="2" t="s">
        <v>291</v>
      </c>
      <c r="D179" s="2" t="s">
        <v>293</v>
      </c>
      <c r="E179" s="4">
        <v>0</v>
      </c>
      <c r="F179" s="7">
        <v>29</v>
      </c>
      <c r="G179" s="2">
        <v>3</v>
      </c>
      <c r="H179" s="2">
        <v>4.7</v>
      </c>
      <c r="I179" s="2">
        <v>12</v>
      </c>
      <c r="J179" s="2" t="s">
        <v>475</v>
      </c>
      <c r="K179" s="2" t="str">
        <f t="shared" si="12"/>
        <v>Free</v>
      </c>
      <c r="L179" s="2" t="str">
        <f t="shared" si="9"/>
        <v>Excellent</v>
      </c>
      <c r="M179" s="2" t="str">
        <f t="shared" si="10"/>
        <v>Free Plan</v>
      </c>
      <c r="N179" s="14">
        <f t="shared" si="11"/>
        <v>56.400000000000006</v>
      </c>
    </row>
    <row r="180" spans="1:14" x14ac:dyDescent="0.3">
      <c r="A180" s="2" t="s">
        <v>125</v>
      </c>
      <c r="B180" s="2" t="s">
        <v>185</v>
      </c>
      <c r="C180" s="2" t="s">
        <v>291</v>
      </c>
      <c r="D180" s="2" t="s">
        <v>293</v>
      </c>
      <c r="E180" s="4">
        <v>0</v>
      </c>
      <c r="F180" s="7">
        <v>9.99</v>
      </c>
      <c r="G180" s="2">
        <v>3</v>
      </c>
      <c r="H180" s="2">
        <v>4.5999999999999996</v>
      </c>
      <c r="I180" s="2">
        <v>12</v>
      </c>
      <c r="J180" s="2" t="s">
        <v>476</v>
      </c>
      <c r="K180" s="2" t="str">
        <f t="shared" si="12"/>
        <v>Free</v>
      </c>
      <c r="L180" s="2" t="str">
        <f t="shared" si="9"/>
        <v>Excellent</v>
      </c>
      <c r="M180" s="2" t="str">
        <f t="shared" si="10"/>
        <v>Free Plan</v>
      </c>
      <c r="N180" s="14">
        <f t="shared" si="11"/>
        <v>55.199999999999996</v>
      </c>
    </row>
    <row r="181" spans="1:14" x14ac:dyDescent="0.3">
      <c r="A181" s="2" t="s">
        <v>254</v>
      </c>
      <c r="B181" s="2" t="s">
        <v>185</v>
      </c>
      <c r="C181" s="2" t="s">
        <v>291</v>
      </c>
      <c r="D181" s="2" t="s">
        <v>293</v>
      </c>
      <c r="E181" s="4">
        <v>0</v>
      </c>
      <c r="F181" s="7">
        <v>13</v>
      </c>
      <c r="G181" s="2">
        <v>2</v>
      </c>
      <c r="H181" s="2">
        <v>4.5999999999999996</v>
      </c>
      <c r="I181" s="2">
        <v>12</v>
      </c>
      <c r="J181" s="2" t="s">
        <v>477</v>
      </c>
      <c r="K181" s="2" t="str">
        <f t="shared" si="12"/>
        <v>Free</v>
      </c>
      <c r="L181" s="2" t="str">
        <f t="shared" si="9"/>
        <v>Excellent</v>
      </c>
      <c r="M181" s="2" t="str">
        <f t="shared" si="10"/>
        <v>Free Plan</v>
      </c>
      <c r="N181" s="14">
        <f t="shared" si="11"/>
        <v>55.199999999999996</v>
      </c>
    </row>
    <row r="182" spans="1:14" x14ac:dyDescent="0.3">
      <c r="A182" s="2" t="s">
        <v>126</v>
      </c>
      <c r="B182" s="2" t="s">
        <v>185</v>
      </c>
      <c r="C182" s="2" t="s">
        <v>291</v>
      </c>
      <c r="D182" s="2" t="s">
        <v>294</v>
      </c>
      <c r="E182" s="4">
        <v>10</v>
      </c>
      <c r="F182" s="7">
        <v>44</v>
      </c>
      <c r="G182" s="2">
        <v>3</v>
      </c>
      <c r="H182" s="2">
        <v>4.5</v>
      </c>
      <c r="I182" s="2">
        <v>12</v>
      </c>
      <c r="J182" s="2" t="s">
        <v>478</v>
      </c>
      <c r="K182" s="2" t="str">
        <f t="shared" si="12"/>
        <v>Low</v>
      </c>
      <c r="L182" s="2" t="str">
        <f t="shared" si="9"/>
        <v>Excellent</v>
      </c>
      <c r="M182" s="2" t="str">
        <f t="shared" si="10"/>
        <v>No Free Plan</v>
      </c>
      <c r="N182" s="14">
        <f t="shared" si="11"/>
        <v>4.9090909090909092</v>
      </c>
    </row>
    <row r="183" spans="1:14" x14ac:dyDescent="0.3">
      <c r="A183" s="2" t="s">
        <v>255</v>
      </c>
      <c r="B183" s="2" t="s">
        <v>185</v>
      </c>
      <c r="C183" s="2" t="s">
        <v>291</v>
      </c>
      <c r="D183" s="2" t="s">
        <v>293</v>
      </c>
      <c r="E183" s="4">
        <v>0</v>
      </c>
      <c r="F183" s="7">
        <v>12</v>
      </c>
      <c r="G183" s="2">
        <v>3</v>
      </c>
      <c r="H183" s="2">
        <v>4.5</v>
      </c>
      <c r="I183" s="2">
        <v>12</v>
      </c>
      <c r="J183" s="2" t="s">
        <v>479</v>
      </c>
      <c r="K183" s="2" t="str">
        <f t="shared" si="12"/>
        <v>Free</v>
      </c>
      <c r="L183" s="2" t="str">
        <f t="shared" si="9"/>
        <v>Excellent</v>
      </c>
      <c r="M183" s="2" t="str">
        <f t="shared" si="10"/>
        <v>Free Plan</v>
      </c>
      <c r="N183" s="14">
        <f t="shared" si="11"/>
        <v>54</v>
      </c>
    </row>
    <row r="184" spans="1:14" x14ac:dyDescent="0.3">
      <c r="A184" s="2" t="s">
        <v>127</v>
      </c>
      <c r="B184" s="2" t="s">
        <v>185</v>
      </c>
      <c r="C184" s="2" t="s">
        <v>291</v>
      </c>
      <c r="D184" s="2" t="s">
        <v>294</v>
      </c>
      <c r="E184" s="4">
        <v>19</v>
      </c>
      <c r="F184" s="7">
        <v>49</v>
      </c>
      <c r="G184" s="2">
        <v>3</v>
      </c>
      <c r="H184" s="2">
        <v>4.4000000000000004</v>
      </c>
      <c r="I184" s="2">
        <v>12</v>
      </c>
      <c r="J184" s="2" t="s">
        <v>480</v>
      </c>
      <c r="K184" s="2" t="str">
        <f t="shared" si="12"/>
        <v>Low</v>
      </c>
      <c r="L184" s="2" t="str">
        <f t="shared" si="9"/>
        <v>Good</v>
      </c>
      <c r="M184" s="2" t="str">
        <f t="shared" si="10"/>
        <v>No Free Plan</v>
      </c>
      <c r="N184" s="14">
        <f t="shared" si="11"/>
        <v>2.64</v>
      </c>
    </row>
    <row r="185" spans="1:14" x14ac:dyDescent="0.3">
      <c r="A185" s="2" t="s">
        <v>256</v>
      </c>
      <c r="B185" s="2" t="s">
        <v>185</v>
      </c>
      <c r="C185" s="2" t="s">
        <v>291</v>
      </c>
      <c r="D185" s="2" t="s">
        <v>293</v>
      </c>
      <c r="E185" s="4">
        <v>0</v>
      </c>
      <c r="F185" s="7">
        <v>39</v>
      </c>
      <c r="G185" s="2">
        <v>3</v>
      </c>
      <c r="H185" s="2">
        <v>4.4000000000000004</v>
      </c>
      <c r="I185" s="2">
        <v>12</v>
      </c>
      <c r="J185" s="2" t="s">
        <v>481</v>
      </c>
      <c r="K185" s="2" t="str">
        <f t="shared" si="12"/>
        <v>Free</v>
      </c>
      <c r="L185" s="2" t="str">
        <f t="shared" si="9"/>
        <v>Good</v>
      </c>
      <c r="M185" s="2" t="str">
        <f t="shared" si="10"/>
        <v>Free Plan</v>
      </c>
      <c r="N185" s="14">
        <f t="shared" si="11"/>
        <v>52.800000000000004</v>
      </c>
    </row>
    <row r="186" spans="1:14" x14ac:dyDescent="0.3">
      <c r="A186" s="2" t="s">
        <v>257</v>
      </c>
      <c r="B186" s="2" t="s">
        <v>188</v>
      </c>
      <c r="C186" s="2" t="s">
        <v>291</v>
      </c>
      <c r="D186" s="2" t="s">
        <v>293</v>
      </c>
      <c r="E186" s="4">
        <v>0</v>
      </c>
      <c r="F186" s="7">
        <v>15</v>
      </c>
      <c r="G186" s="2">
        <v>3</v>
      </c>
      <c r="H186" s="2">
        <v>4.7</v>
      </c>
      <c r="I186" s="2">
        <v>12</v>
      </c>
      <c r="J186" s="2" t="s">
        <v>482</v>
      </c>
      <c r="K186" s="2" t="str">
        <f t="shared" si="12"/>
        <v>Free</v>
      </c>
      <c r="L186" s="2" t="str">
        <f t="shared" si="9"/>
        <v>Excellent</v>
      </c>
      <c r="M186" s="2" t="str">
        <f t="shared" si="10"/>
        <v>Free Plan</v>
      </c>
      <c r="N186" s="14">
        <f t="shared" si="11"/>
        <v>56.400000000000006</v>
      </c>
    </row>
    <row r="187" spans="1:14" x14ac:dyDescent="0.3">
      <c r="A187" s="2" t="s">
        <v>128</v>
      </c>
      <c r="B187" s="2" t="s">
        <v>188</v>
      </c>
      <c r="C187" s="2" t="s">
        <v>291</v>
      </c>
      <c r="D187" s="2" t="s">
        <v>293</v>
      </c>
      <c r="E187" s="4">
        <v>0</v>
      </c>
      <c r="F187" s="7">
        <v>20</v>
      </c>
      <c r="G187" s="2">
        <v>3</v>
      </c>
      <c r="H187" s="2">
        <v>4.5</v>
      </c>
      <c r="I187" s="2">
        <v>12</v>
      </c>
      <c r="J187" s="2" t="s">
        <v>483</v>
      </c>
      <c r="K187" s="2" t="str">
        <f t="shared" si="12"/>
        <v>Free</v>
      </c>
      <c r="L187" s="2" t="str">
        <f t="shared" si="9"/>
        <v>Excellent</v>
      </c>
      <c r="M187" s="2" t="str">
        <f t="shared" si="10"/>
        <v>Free Plan</v>
      </c>
      <c r="N187" s="14">
        <f t="shared" si="11"/>
        <v>54</v>
      </c>
    </row>
    <row r="188" spans="1:14" x14ac:dyDescent="0.3">
      <c r="A188" s="2" t="s">
        <v>258</v>
      </c>
      <c r="B188" s="2" t="s">
        <v>188</v>
      </c>
      <c r="C188" s="2" t="s">
        <v>291</v>
      </c>
      <c r="D188" s="2" t="s">
        <v>293</v>
      </c>
      <c r="E188" s="4">
        <v>0</v>
      </c>
      <c r="F188" s="7">
        <v>35</v>
      </c>
      <c r="G188" s="2">
        <v>3</v>
      </c>
      <c r="H188" s="2">
        <v>4.5999999999999996</v>
      </c>
      <c r="I188" s="2">
        <v>12</v>
      </c>
      <c r="J188" s="2" t="s">
        <v>484</v>
      </c>
      <c r="K188" s="2" t="str">
        <f t="shared" si="12"/>
        <v>Free</v>
      </c>
      <c r="L188" s="2" t="str">
        <f t="shared" si="9"/>
        <v>Excellent</v>
      </c>
      <c r="M188" s="2" t="str">
        <f t="shared" si="10"/>
        <v>Free Plan</v>
      </c>
      <c r="N188" s="14">
        <f t="shared" si="11"/>
        <v>55.199999999999996</v>
      </c>
    </row>
    <row r="189" spans="1:14" x14ac:dyDescent="0.3">
      <c r="A189" s="2" t="s">
        <v>259</v>
      </c>
      <c r="B189" s="2" t="s">
        <v>188</v>
      </c>
      <c r="C189" s="2" t="s">
        <v>291</v>
      </c>
      <c r="D189" s="2" t="s">
        <v>293</v>
      </c>
      <c r="E189" s="4">
        <v>0</v>
      </c>
      <c r="F189" s="7">
        <v>100</v>
      </c>
      <c r="G189" s="2">
        <v>3</v>
      </c>
      <c r="H189" s="2">
        <v>4.5</v>
      </c>
      <c r="I189" s="2">
        <v>8</v>
      </c>
      <c r="J189" s="2" t="s">
        <v>485</v>
      </c>
      <c r="K189" s="2" t="str">
        <f t="shared" si="12"/>
        <v>Free</v>
      </c>
      <c r="L189" s="2" t="str">
        <f t="shared" si="9"/>
        <v>Excellent</v>
      </c>
      <c r="M189" s="2" t="str">
        <f t="shared" si="10"/>
        <v>Free Plan</v>
      </c>
      <c r="N189" s="14">
        <f t="shared" si="11"/>
        <v>36</v>
      </c>
    </row>
    <row r="190" spans="1:14" x14ac:dyDescent="0.3">
      <c r="A190" s="2" t="s">
        <v>260</v>
      </c>
      <c r="B190" s="2" t="s">
        <v>188</v>
      </c>
      <c r="C190" s="2" t="s">
        <v>291</v>
      </c>
      <c r="D190" s="2" t="s">
        <v>294</v>
      </c>
      <c r="E190" s="4">
        <v>199</v>
      </c>
      <c r="F190" s="7">
        <v>399</v>
      </c>
      <c r="G190" s="2">
        <v>3</v>
      </c>
      <c r="H190" s="2">
        <v>4.7</v>
      </c>
      <c r="I190" s="2">
        <v>12</v>
      </c>
      <c r="J190" s="2" t="s">
        <v>486</v>
      </c>
      <c r="K190" s="2" t="str">
        <f t="shared" si="12"/>
        <v>High</v>
      </c>
      <c r="L190" s="2" t="str">
        <f t="shared" si="9"/>
        <v>Excellent</v>
      </c>
      <c r="M190" s="2" t="str">
        <f t="shared" si="10"/>
        <v>No Free Plan</v>
      </c>
      <c r="N190" s="14">
        <f t="shared" si="11"/>
        <v>0.28200000000000003</v>
      </c>
    </row>
    <row r="191" spans="1:14" x14ac:dyDescent="0.3">
      <c r="A191" s="2" t="s">
        <v>129</v>
      </c>
      <c r="B191" s="2" t="s">
        <v>188</v>
      </c>
      <c r="C191" s="2" t="s">
        <v>291</v>
      </c>
      <c r="D191" s="2" t="s">
        <v>294</v>
      </c>
      <c r="E191" s="4">
        <v>14</v>
      </c>
      <c r="F191" s="7">
        <v>99</v>
      </c>
      <c r="G191" s="2">
        <v>3</v>
      </c>
      <c r="H191" s="2">
        <v>4.5</v>
      </c>
      <c r="I191" s="2">
        <v>12</v>
      </c>
      <c r="J191" s="2" t="s">
        <v>487</v>
      </c>
      <c r="K191" s="2" t="str">
        <f t="shared" si="12"/>
        <v>Low</v>
      </c>
      <c r="L191" s="2" t="str">
        <f t="shared" si="9"/>
        <v>Excellent</v>
      </c>
      <c r="M191" s="2" t="str">
        <f t="shared" si="10"/>
        <v>No Free Plan</v>
      </c>
      <c r="N191" s="14">
        <f t="shared" si="11"/>
        <v>3.6</v>
      </c>
    </row>
    <row r="192" spans="1:14" x14ac:dyDescent="0.3">
      <c r="A192" s="2" t="s">
        <v>261</v>
      </c>
      <c r="B192" s="2" t="s">
        <v>188</v>
      </c>
      <c r="C192" s="2" t="s">
        <v>291</v>
      </c>
      <c r="D192" s="2" t="s">
        <v>293</v>
      </c>
      <c r="E192" s="4">
        <v>0</v>
      </c>
      <c r="F192" s="7">
        <v>9</v>
      </c>
      <c r="G192" s="2">
        <v>3</v>
      </c>
      <c r="H192" s="2">
        <v>4.7</v>
      </c>
      <c r="I192" s="2">
        <v>12</v>
      </c>
      <c r="J192" s="2" t="s">
        <v>488</v>
      </c>
      <c r="K192" s="2" t="str">
        <f t="shared" si="12"/>
        <v>Free</v>
      </c>
      <c r="L192" s="2" t="str">
        <f t="shared" si="9"/>
        <v>Excellent</v>
      </c>
      <c r="M192" s="2" t="str">
        <f t="shared" si="10"/>
        <v>Free Plan</v>
      </c>
      <c r="N192" s="14">
        <f t="shared" si="11"/>
        <v>56.400000000000006</v>
      </c>
    </row>
    <row r="193" spans="1:14" x14ac:dyDescent="0.3">
      <c r="A193" s="2" t="s">
        <v>130</v>
      </c>
      <c r="B193" s="2" t="s">
        <v>190</v>
      </c>
      <c r="C193" s="2" t="s">
        <v>291</v>
      </c>
      <c r="D193" s="2" t="s">
        <v>293</v>
      </c>
      <c r="E193" s="4">
        <v>0</v>
      </c>
      <c r="F193" s="7">
        <v>39</v>
      </c>
      <c r="G193" s="2">
        <v>3</v>
      </c>
      <c r="H193" s="2">
        <v>4.0999999999999996</v>
      </c>
      <c r="I193" s="2">
        <v>12</v>
      </c>
      <c r="J193" s="2" t="s">
        <v>489</v>
      </c>
      <c r="K193" s="2" t="str">
        <f t="shared" si="12"/>
        <v>Free</v>
      </c>
      <c r="L193" s="2" t="str">
        <f t="shared" si="9"/>
        <v>Good</v>
      </c>
      <c r="M193" s="2" t="str">
        <f t="shared" si="10"/>
        <v>Free Plan</v>
      </c>
      <c r="N193" s="14">
        <f t="shared" si="11"/>
        <v>49.199999999999996</v>
      </c>
    </row>
    <row r="194" spans="1:14" x14ac:dyDescent="0.3">
      <c r="A194" s="2" t="s">
        <v>262</v>
      </c>
      <c r="B194" s="2" t="s">
        <v>190</v>
      </c>
      <c r="C194" s="2" t="s">
        <v>291</v>
      </c>
      <c r="D194" s="2" t="s">
        <v>293</v>
      </c>
      <c r="E194" s="4">
        <v>0</v>
      </c>
      <c r="F194" s="7">
        <v>40</v>
      </c>
      <c r="G194" s="2">
        <v>3</v>
      </c>
      <c r="H194" s="2">
        <v>4.4000000000000004</v>
      </c>
      <c r="I194" s="2">
        <v>12</v>
      </c>
      <c r="J194" s="2" t="s">
        <v>490</v>
      </c>
      <c r="K194" s="2" t="str">
        <f t="shared" si="12"/>
        <v>Free</v>
      </c>
      <c r="L194" s="2" t="str">
        <f t="shared" si="9"/>
        <v>Good</v>
      </c>
      <c r="M194" s="2" t="str">
        <f t="shared" si="10"/>
        <v>Free Plan</v>
      </c>
      <c r="N194" s="14">
        <f t="shared" si="11"/>
        <v>52.800000000000004</v>
      </c>
    </row>
    <row r="195" spans="1:14" x14ac:dyDescent="0.3">
      <c r="A195" s="2" t="s">
        <v>263</v>
      </c>
      <c r="B195" s="2" t="s">
        <v>190</v>
      </c>
      <c r="C195" s="2" t="s">
        <v>291</v>
      </c>
      <c r="D195" s="2" t="s">
        <v>293</v>
      </c>
      <c r="E195" s="4">
        <v>0</v>
      </c>
      <c r="F195" s="7">
        <v>30</v>
      </c>
      <c r="G195" s="2">
        <v>3</v>
      </c>
      <c r="H195" s="2">
        <v>4.5999999999999996</v>
      </c>
      <c r="I195" s="2">
        <v>12</v>
      </c>
      <c r="J195" s="2" t="s">
        <v>491</v>
      </c>
      <c r="K195" s="2" t="str">
        <f t="shared" si="12"/>
        <v>Free</v>
      </c>
      <c r="L195" s="2" t="str">
        <f t="shared" ref="L195:L258" si="13">IF(H195&gt;=4.5,"Excellent",IF(H195&gt;=4,"Good","Average"))</f>
        <v>Excellent</v>
      </c>
      <c r="M195" s="2" t="str">
        <f t="shared" ref="M195:M258" si="14">IF(TRIM(UPPER(D195))="TRUE","Free Plan","No Free Plan")</f>
        <v>Free Plan</v>
      </c>
      <c r="N195" s="14">
        <f t="shared" ref="N195:N258" si="15">H195*I195/(E195+1)</f>
        <v>55.199999999999996</v>
      </c>
    </row>
    <row r="196" spans="1:14" x14ac:dyDescent="0.3">
      <c r="A196" s="2" t="s">
        <v>264</v>
      </c>
      <c r="B196" s="2" t="s">
        <v>190</v>
      </c>
      <c r="C196" s="2" t="s">
        <v>291</v>
      </c>
      <c r="D196" s="2" t="s">
        <v>293</v>
      </c>
      <c r="E196" s="4">
        <v>0</v>
      </c>
      <c r="F196" s="7">
        <v>100</v>
      </c>
      <c r="G196" s="2">
        <v>3</v>
      </c>
      <c r="H196" s="2">
        <v>4.5999999999999996</v>
      </c>
      <c r="I196" s="2">
        <v>12</v>
      </c>
      <c r="J196" s="2" t="s">
        <v>492</v>
      </c>
      <c r="K196" s="2" t="str">
        <f t="shared" si="12"/>
        <v>Free</v>
      </c>
      <c r="L196" s="2" t="str">
        <f t="shared" si="13"/>
        <v>Excellent</v>
      </c>
      <c r="M196" s="2" t="str">
        <f t="shared" si="14"/>
        <v>Free Plan</v>
      </c>
      <c r="N196" s="14">
        <f t="shared" si="15"/>
        <v>55.199999999999996</v>
      </c>
    </row>
    <row r="197" spans="1:14" x14ac:dyDescent="0.3">
      <c r="A197" s="2" t="s">
        <v>131</v>
      </c>
      <c r="B197" s="2" t="s">
        <v>190</v>
      </c>
      <c r="C197" s="2" t="s">
        <v>291</v>
      </c>
      <c r="D197" s="2" t="s">
        <v>293</v>
      </c>
      <c r="E197" s="4">
        <v>0</v>
      </c>
      <c r="F197" s="7">
        <v>40</v>
      </c>
      <c r="G197" s="2">
        <v>4</v>
      </c>
      <c r="H197" s="2">
        <v>4.7</v>
      </c>
      <c r="I197" s="2">
        <v>12</v>
      </c>
      <c r="J197" s="2" t="s">
        <v>493</v>
      </c>
      <c r="K197" s="2" t="str">
        <f t="shared" si="12"/>
        <v>Free</v>
      </c>
      <c r="L197" s="2" t="str">
        <f t="shared" si="13"/>
        <v>Excellent</v>
      </c>
      <c r="M197" s="2" t="str">
        <f t="shared" si="14"/>
        <v>Free Plan</v>
      </c>
      <c r="N197" s="14">
        <f t="shared" si="15"/>
        <v>56.400000000000006</v>
      </c>
    </row>
    <row r="198" spans="1:14" x14ac:dyDescent="0.3">
      <c r="A198" s="2" t="s">
        <v>132</v>
      </c>
      <c r="B198" s="2" t="s">
        <v>190</v>
      </c>
      <c r="C198" s="2" t="s">
        <v>291</v>
      </c>
      <c r="D198" s="2" t="s">
        <v>293</v>
      </c>
      <c r="E198" s="4">
        <v>0</v>
      </c>
      <c r="F198" s="7">
        <v>17</v>
      </c>
      <c r="G198" s="2">
        <v>2</v>
      </c>
      <c r="H198" s="2">
        <v>4.5</v>
      </c>
      <c r="I198" s="2">
        <v>12</v>
      </c>
      <c r="J198" s="2" t="s">
        <v>494</v>
      </c>
      <c r="K198" s="2" t="str">
        <f t="shared" si="12"/>
        <v>Free</v>
      </c>
      <c r="L198" s="2" t="str">
        <f t="shared" si="13"/>
        <v>Excellent</v>
      </c>
      <c r="M198" s="2" t="str">
        <f t="shared" si="14"/>
        <v>Free Plan</v>
      </c>
      <c r="N198" s="14">
        <f t="shared" si="15"/>
        <v>54</v>
      </c>
    </row>
    <row r="199" spans="1:14" x14ac:dyDescent="0.3">
      <c r="A199" s="2" t="s">
        <v>265</v>
      </c>
      <c r="B199" s="2" t="s">
        <v>192</v>
      </c>
      <c r="C199" s="2" t="s">
        <v>291</v>
      </c>
      <c r="D199" s="2" t="s">
        <v>293</v>
      </c>
      <c r="E199" s="4">
        <v>0</v>
      </c>
      <c r="F199" s="7">
        <v>69</v>
      </c>
      <c r="G199" s="2">
        <v>4</v>
      </c>
      <c r="H199" s="2">
        <v>4.5</v>
      </c>
      <c r="I199" s="2">
        <v>12</v>
      </c>
      <c r="J199" s="2" t="s">
        <v>495</v>
      </c>
      <c r="K199" s="2" t="str">
        <f t="shared" si="12"/>
        <v>Free</v>
      </c>
      <c r="L199" s="2" t="str">
        <f t="shared" si="13"/>
        <v>Excellent</v>
      </c>
      <c r="M199" s="2" t="str">
        <f t="shared" si="14"/>
        <v>Free Plan</v>
      </c>
      <c r="N199" s="14">
        <f t="shared" si="15"/>
        <v>54</v>
      </c>
    </row>
    <row r="200" spans="1:14" x14ac:dyDescent="0.3">
      <c r="A200" s="2" t="s">
        <v>266</v>
      </c>
      <c r="B200" s="2" t="s">
        <v>194</v>
      </c>
      <c r="C200" s="2" t="s">
        <v>291</v>
      </c>
      <c r="D200" s="2" t="s">
        <v>293</v>
      </c>
      <c r="E200" s="4">
        <v>0</v>
      </c>
      <c r="F200" s="7">
        <v>10</v>
      </c>
      <c r="G200" s="2">
        <v>2</v>
      </c>
      <c r="H200" s="2">
        <v>4.3</v>
      </c>
      <c r="I200" s="2">
        <v>12</v>
      </c>
      <c r="J200" s="2" t="s">
        <v>496</v>
      </c>
      <c r="K200" s="2" t="str">
        <f t="shared" si="12"/>
        <v>Free</v>
      </c>
      <c r="L200" s="2" t="str">
        <f t="shared" si="13"/>
        <v>Good</v>
      </c>
      <c r="M200" s="2" t="str">
        <f t="shared" si="14"/>
        <v>Free Plan</v>
      </c>
      <c r="N200" s="14">
        <f t="shared" si="15"/>
        <v>51.599999999999994</v>
      </c>
    </row>
    <row r="201" spans="1:14" x14ac:dyDescent="0.3">
      <c r="A201" s="2" t="s">
        <v>133</v>
      </c>
      <c r="B201" s="2" t="s">
        <v>194</v>
      </c>
      <c r="C201" s="2" t="s">
        <v>291</v>
      </c>
      <c r="D201" s="2" t="s">
        <v>293</v>
      </c>
      <c r="E201" s="4">
        <v>0</v>
      </c>
      <c r="F201" s="7">
        <v>30</v>
      </c>
      <c r="G201" s="2">
        <v>3</v>
      </c>
      <c r="H201" s="2">
        <v>4.5</v>
      </c>
      <c r="I201" s="2">
        <v>12</v>
      </c>
      <c r="J201" s="2" t="s">
        <v>497</v>
      </c>
      <c r="K201" s="2" t="str">
        <f t="shared" si="12"/>
        <v>Free</v>
      </c>
      <c r="L201" s="2" t="str">
        <f t="shared" si="13"/>
        <v>Excellent</v>
      </c>
      <c r="M201" s="2" t="str">
        <f t="shared" si="14"/>
        <v>Free Plan</v>
      </c>
      <c r="N201" s="14">
        <f t="shared" si="15"/>
        <v>54</v>
      </c>
    </row>
    <row r="202" spans="1:14" x14ac:dyDescent="0.3">
      <c r="A202" s="2" t="s">
        <v>267</v>
      </c>
      <c r="B202" s="2" t="s">
        <v>193</v>
      </c>
      <c r="C202" s="2" t="s">
        <v>291</v>
      </c>
      <c r="D202" s="2" t="s">
        <v>293</v>
      </c>
      <c r="E202" s="4">
        <v>0</v>
      </c>
      <c r="F202" s="7">
        <v>15</v>
      </c>
      <c r="G202" s="2">
        <v>2</v>
      </c>
      <c r="H202" s="2">
        <v>4.4000000000000004</v>
      </c>
      <c r="I202" s="2">
        <v>12</v>
      </c>
      <c r="J202" s="2" t="s">
        <v>498</v>
      </c>
      <c r="K202" s="2" t="str">
        <f t="shared" si="12"/>
        <v>Free</v>
      </c>
      <c r="L202" s="2" t="str">
        <f t="shared" si="13"/>
        <v>Good</v>
      </c>
      <c r="M202" s="2" t="str">
        <f t="shared" si="14"/>
        <v>Free Plan</v>
      </c>
      <c r="N202" s="14">
        <f t="shared" si="15"/>
        <v>52.800000000000004</v>
      </c>
    </row>
    <row r="203" spans="1:14" x14ac:dyDescent="0.3">
      <c r="A203" s="2" t="s">
        <v>134</v>
      </c>
      <c r="B203" s="2" t="s">
        <v>193</v>
      </c>
      <c r="C203" s="2" t="s">
        <v>291</v>
      </c>
      <c r="D203" s="2" t="s">
        <v>293</v>
      </c>
      <c r="E203" s="4">
        <v>0</v>
      </c>
      <c r="F203" s="7">
        <v>10</v>
      </c>
      <c r="G203" s="2">
        <v>3</v>
      </c>
      <c r="H203" s="2">
        <v>4.5999999999999996</v>
      </c>
      <c r="I203" s="2">
        <v>12</v>
      </c>
      <c r="J203" s="2" t="s">
        <v>499</v>
      </c>
      <c r="K203" s="2" t="str">
        <f t="shared" si="12"/>
        <v>Free</v>
      </c>
      <c r="L203" s="2" t="str">
        <f t="shared" si="13"/>
        <v>Excellent</v>
      </c>
      <c r="M203" s="2" t="str">
        <f t="shared" si="14"/>
        <v>Free Plan</v>
      </c>
      <c r="N203" s="14">
        <f t="shared" si="15"/>
        <v>55.199999999999996</v>
      </c>
    </row>
    <row r="204" spans="1:14" x14ac:dyDescent="0.3">
      <c r="A204" s="2" t="s">
        <v>135</v>
      </c>
      <c r="B204" s="2" t="s">
        <v>193</v>
      </c>
      <c r="C204" s="2" t="s">
        <v>291</v>
      </c>
      <c r="D204" s="2" t="s">
        <v>293</v>
      </c>
      <c r="E204" s="4">
        <v>0</v>
      </c>
      <c r="F204" s="7">
        <v>49</v>
      </c>
      <c r="G204" s="2">
        <v>3</v>
      </c>
      <c r="H204" s="2">
        <v>4.5</v>
      </c>
      <c r="I204" s="2">
        <v>12</v>
      </c>
      <c r="J204" s="2" t="s">
        <v>500</v>
      </c>
      <c r="K204" s="2" t="str">
        <f t="shared" si="12"/>
        <v>Free</v>
      </c>
      <c r="L204" s="2" t="str">
        <f t="shared" si="13"/>
        <v>Excellent</v>
      </c>
      <c r="M204" s="2" t="str">
        <f t="shared" si="14"/>
        <v>Free Plan</v>
      </c>
      <c r="N204" s="14">
        <f t="shared" si="15"/>
        <v>54</v>
      </c>
    </row>
    <row r="205" spans="1:14" x14ac:dyDescent="0.3">
      <c r="A205" s="2" t="s">
        <v>136</v>
      </c>
      <c r="B205" s="2" t="s">
        <v>191</v>
      </c>
      <c r="C205" s="2" t="s">
        <v>291</v>
      </c>
      <c r="D205" s="2" t="s">
        <v>293</v>
      </c>
      <c r="E205" s="4">
        <v>0</v>
      </c>
      <c r="F205" s="7">
        <v>24</v>
      </c>
      <c r="G205" s="2">
        <v>3</v>
      </c>
      <c r="H205" s="2">
        <v>4.5999999999999996</v>
      </c>
      <c r="I205" s="2">
        <v>12</v>
      </c>
      <c r="J205" s="2" t="s">
        <v>501</v>
      </c>
      <c r="K205" s="2" t="str">
        <f t="shared" si="12"/>
        <v>Free</v>
      </c>
      <c r="L205" s="2" t="str">
        <f t="shared" si="13"/>
        <v>Excellent</v>
      </c>
      <c r="M205" s="2" t="str">
        <f t="shared" si="14"/>
        <v>Free Plan</v>
      </c>
      <c r="N205" s="14">
        <f t="shared" si="15"/>
        <v>55.199999999999996</v>
      </c>
    </row>
    <row r="206" spans="1:14" x14ac:dyDescent="0.3">
      <c r="A206" s="2" t="s">
        <v>137</v>
      </c>
      <c r="B206" s="2" t="s">
        <v>191</v>
      </c>
      <c r="C206" s="2" t="s">
        <v>291</v>
      </c>
      <c r="D206" s="2" t="s">
        <v>293</v>
      </c>
      <c r="E206" s="4">
        <v>0</v>
      </c>
      <c r="F206" s="7">
        <v>30</v>
      </c>
      <c r="G206" s="2">
        <v>3</v>
      </c>
      <c r="H206" s="2">
        <v>4.5</v>
      </c>
      <c r="I206" s="2">
        <v>12</v>
      </c>
      <c r="J206" s="2" t="s">
        <v>502</v>
      </c>
      <c r="K206" s="2" t="str">
        <f t="shared" ref="K206:K265" si="16">IF(E206=0,"Free",IF(E206&lt;=20,"Low",IF(E206&lt;=50,"Medium","High")))</f>
        <v>Free</v>
      </c>
      <c r="L206" s="2" t="str">
        <f t="shared" si="13"/>
        <v>Excellent</v>
      </c>
      <c r="M206" s="2" t="str">
        <f t="shared" si="14"/>
        <v>Free Plan</v>
      </c>
      <c r="N206" s="14">
        <f t="shared" si="15"/>
        <v>54</v>
      </c>
    </row>
    <row r="207" spans="1:14" x14ac:dyDescent="0.3">
      <c r="A207" s="2" t="s">
        <v>138</v>
      </c>
      <c r="B207" s="2" t="s">
        <v>191</v>
      </c>
      <c r="C207" s="2" t="s">
        <v>291</v>
      </c>
      <c r="D207" s="2" t="s">
        <v>293</v>
      </c>
      <c r="E207" s="4">
        <v>0</v>
      </c>
      <c r="F207" s="7">
        <v>5</v>
      </c>
      <c r="G207" s="2">
        <v>2</v>
      </c>
      <c r="H207" s="2">
        <v>4.5999999999999996</v>
      </c>
      <c r="I207" s="2">
        <v>12</v>
      </c>
      <c r="J207" s="2" t="s">
        <v>503</v>
      </c>
      <c r="K207" s="2" t="str">
        <f t="shared" si="16"/>
        <v>Free</v>
      </c>
      <c r="L207" s="2" t="str">
        <f t="shared" si="13"/>
        <v>Excellent</v>
      </c>
      <c r="M207" s="2" t="str">
        <f t="shared" si="14"/>
        <v>Free Plan</v>
      </c>
      <c r="N207" s="14">
        <f t="shared" si="15"/>
        <v>55.199999999999996</v>
      </c>
    </row>
    <row r="208" spans="1:14" x14ac:dyDescent="0.3">
      <c r="A208" s="2" t="s">
        <v>268</v>
      </c>
      <c r="B208" s="2" t="s">
        <v>193</v>
      </c>
      <c r="C208" s="2" t="s">
        <v>291</v>
      </c>
      <c r="D208" s="2" t="s">
        <v>293</v>
      </c>
      <c r="E208" s="4">
        <v>0</v>
      </c>
      <c r="F208" s="7">
        <v>40</v>
      </c>
      <c r="G208" s="2">
        <v>4</v>
      </c>
      <c r="H208" s="2">
        <v>4.2</v>
      </c>
      <c r="I208" s="2">
        <v>12</v>
      </c>
      <c r="J208" s="2" t="s">
        <v>504</v>
      </c>
      <c r="K208" s="2" t="str">
        <f t="shared" si="16"/>
        <v>Free</v>
      </c>
      <c r="L208" s="2" t="str">
        <f t="shared" si="13"/>
        <v>Good</v>
      </c>
      <c r="M208" s="2" t="str">
        <f t="shared" si="14"/>
        <v>Free Plan</v>
      </c>
      <c r="N208" s="14">
        <f t="shared" si="15"/>
        <v>50.400000000000006</v>
      </c>
    </row>
    <row r="209" spans="1:14" x14ac:dyDescent="0.3">
      <c r="A209" s="2" t="s">
        <v>269</v>
      </c>
      <c r="B209" s="2" t="s">
        <v>193</v>
      </c>
      <c r="C209" s="2" t="s">
        <v>291</v>
      </c>
      <c r="D209" s="2" t="s">
        <v>293</v>
      </c>
      <c r="E209" s="4">
        <v>0</v>
      </c>
      <c r="F209" s="7">
        <v>29</v>
      </c>
      <c r="G209" s="2">
        <v>3</v>
      </c>
      <c r="H209" s="2">
        <v>4.7</v>
      </c>
      <c r="I209" s="2">
        <v>12</v>
      </c>
      <c r="J209" s="2" t="s">
        <v>505</v>
      </c>
      <c r="K209" s="2" t="str">
        <f t="shared" si="16"/>
        <v>Free</v>
      </c>
      <c r="L209" s="2" t="str">
        <f t="shared" si="13"/>
        <v>Excellent</v>
      </c>
      <c r="M209" s="2" t="str">
        <f t="shared" si="14"/>
        <v>Free Plan</v>
      </c>
      <c r="N209" s="14">
        <f t="shared" si="15"/>
        <v>56.400000000000006</v>
      </c>
    </row>
    <row r="210" spans="1:14" x14ac:dyDescent="0.3">
      <c r="A210" s="2" t="s">
        <v>270</v>
      </c>
      <c r="B210" s="2" t="s">
        <v>193</v>
      </c>
      <c r="C210" s="2" t="s">
        <v>291</v>
      </c>
      <c r="D210" s="2" t="s">
        <v>293</v>
      </c>
      <c r="E210" s="4">
        <v>0</v>
      </c>
      <c r="F210" s="7">
        <v>50</v>
      </c>
      <c r="G210" s="2">
        <v>3</v>
      </c>
      <c r="H210" s="2">
        <v>4.4000000000000004</v>
      </c>
      <c r="I210" s="2">
        <v>12</v>
      </c>
      <c r="J210" s="2" t="s">
        <v>506</v>
      </c>
      <c r="K210" s="2" t="str">
        <f t="shared" si="16"/>
        <v>Free</v>
      </c>
      <c r="L210" s="2" t="str">
        <f t="shared" si="13"/>
        <v>Good</v>
      </c>
      <c r="M210" s="2" t="str">
        <f t="shared" si="14"/>
        <v>Free Plan</v>
      </c>
      <c r="N210" s="14">
        <f t="shared" si="15"/>
        <v>52.800000000000004</v>
      </c>
    </row>
    <row r="211" spans="1:14" x14ac:dyDescent="0.3">
      <c r="A211" s="2" t="s">
        <v>271</v>
      </c>
      <c r="B211" s="2" t="s">
        <v>193</v>
      </c>
      <c r="C211" s="2" t="s">
        <v>291</v>
      </c>
      <c r="D211" s="2" t="s">
        <v>294</v>
      </c>
      <c r="E211" s="4">
        <v>12</v>
      </c>
      <c r="F211" s="7">
        <v>40</v>
      </c>
      <c r="G211" s="2">
        <v>3</v>
      </c>
      <c r="H211" s="2">
        <v>4.4000000000000004</v>
      </c>
      <c r="I211" s="2">
        <v>12</v>
      </c>
      <c r="J211" s="2" t="s">
        <v>507</v>
      </c>
      <c r="K211" s="2" t="str">
        <f t="shared" si="16"/>
        <v>Low</v>
      </c>
      <c r="L211" s="2" t="str">
        <f t="shared" si="13"/>
        <v>Good</v>
      </c>
      <c r="M211" s="2" t="str">
        <f t="shared" si="14"/>
        <v>No Free Plan</v>
      </c>
      <c r="N211" s="14">
        <f t="shared" si="15"/>
        <v>4.0615384615384622</v>
      </c>
    </row>
    <row r="212" spans="1:14" x14ac:dyDescent="0.3">
      <c r="A212" s="2" t="s">
        <v>139</v>
      </c>
      <c r="B212" s="2" t="s">
        <v>193</v>
      </c>
      <c r="C212" s="2" t="s">
        <v>291</v>
      </c>
      <c r="D212" s="2" t="s">
        <v>293</v>
      </c>
      <c r="E212" s="4">
        <v>0</v>
      </c>
      <c r="F212" s="7">
        <v>15</v>
      </c>
      <c r="G212" s="2">
        <v>3</v>
      </c>
      <c r="H212" s="2">
        <v>4.7</v>
      </c>
      <c r="I212" s="2">
        <v>12</v>
      </c>
      <c r="J212" s="2" t="s">
        <v>508</v>
      </c>
      <c r="K212" s="2" t="str">
        <f t="shared" si="16"/>
        <v>Free</v>
      </c>
      <c r="L212" s="2" t="str">
        <f t="shared" si="13"/>
        <v>Excellent</v>
      </c>
      <c r="M212" s="2" t="str">
        <f t="shared" si="14"/>
        <v>Free Plan</v>
      </c>
      <c r="N212" s="14">
        <f t="shared" si="15"/>
        <v>56.400000000000006</v>
      </c>
    </row>
    <row r="213" spans="1:14" x14ac:dyDescent="0.3">
      <c r="A213" s="2" t="s">
        <v>140</v>
      </c>
      <c r="B213" s="2" t="s">
        <v>193</v>
      </c>
      <c r="C213" s="2" t="s">
        <v>291</v>
      </c>
      <c r="D213" s="2" t="s">
        <v>293</v>
      </c>
      <c r="E213" s="4">
        <v>0</v>
      </c>
      <c r="F213" s="7">
        <v>16</v>
      </c>
      <c r="G213" s="2">
        <v>3</v>
      </c>
      <c r="H213" s="2">
        <v>4.5</v>
      </c>
      <c r="I213" s="2">
        <v>12</v>
      </c>
      <c r="J213" s="2" t="s">
        <v>509</v>
      </c>
      <c r="K213" s="2" t="str">
        <f t="shared" si="16"/>
        <v>Free</v>
      </c>
      <c r="L213" s="2" t="str">
        <f t="shared" si="13"/>
        <v>Excellent</v>
      </c>
      <c r="M213" s="2" t="str">
        <f t="shared" si="14"/>
        <v>Free Plan</v>
      </c>
      <c r="N213" s="14">
        <f t="shared" si="15"/>
        <v>54</v>
      </c>
    </row>
    <row r="214" spans="1:14" x14ac:dyDescent="0.3">
      <c r="A214" s="2" t="s">
        <v>141</v>
      </c>
      <c r="B214" s="2" t="s">
        <v>189</v>
      </c>
      <c r="C214" s="2" t="s">
        <v>291</v>
      </c>
      <c r="D214" s="2" t="s">
        <v>293</v>
      </c>
      <c r="E214" s="4">
        <v>0</v>
      </c>
      <c r="F214" s="7">
        <v>35</v>
      </c>
      <c r="G214" s="2">
        <v>3</v>
      </c>
      <c r="H214" s="2">
        <v>4.5999999999999996</v>
      </c>
      <c r="I214" s="2">
        <v>12</v>
      </c>
      <c r="J214" s="2" t="s">
        <v>510</v>
      </c>
      <c r="K214" s="2" t="str">
        <f t="shared" si="16"/>
        <v>Free</v>
      </c>
      <c r="L214" s="2" t="str">
        <f t="shared" si="13"/>
        <v>Excellent</v>
      </c>
      <c r="M214" s="2" t="str">
        <f t="shared" si="14"/>
        <v>Free Plan</v>
      </c>
      <c r="N214" s="14">
        <f t="shared" si="15"/>
        <v>55.199999999999996</v>
      </c>
    </row>
    <row r="215" spans="1:14" x14ac:dyDescent="0.3">
      <c r="A215" s="2" t="s">
        <v>272</v>
      </c>
      <c r="B215" s="2" t="s">
        <v>189</v>
      </c>
      <c r="C215" s="2" t="s">
        <v>291</v>
      </c>
      <c r="D215" s="2" t="s">
        <v>293</v>
      </c>
      <c r="E215" s="4">
        <v>0</v>
      </c>
      <c r="F215" s="7">
        <v>20</v>
      </c>
      <c r="G215" s="2">
        <v>3</v>
      </c>
      <c r="H215" s="2">
        <v>4.5999999999999996</v>
      </c>
      <c r="I215" s="2">
        <v>12</v>
      </c>
      <c r="J215" s="2" t="s">
        <v>511</v>
      </c>
      <c r="K215" s="2" t="str">
        <f t="shared" si="16"/>
        <v>Free</v>
      </c>
      <c r="L215" s="2" t="str">
        <f t="shared" si="13"/>
        <v>Excellent</v>
      </c>
      <c r="M215" s="2" t="str">
        <f t="shared" si="14"/>
        <v>Free Plan</v>
      </c>
      <c r="N215" s="14">
        <f t="shared" si="15"/>
        <v>55.199999999999996</v>
      </c>
    </row>
    <row r="216" spans="1:14" x14ac:dyDescent="0.3">
      <c r="A216" s="2" t="s">
        <v>273</v>
      </c>
      <c r="B216" s="2" t="s">
        <v>189</v>
      </c>
      <c r="C216" s="2" t="s">
        <v>291</v>
      </c>
      <c r="D216" s="2" t="s">
        <v>293</v>
      </c>
      <c r="E216" s="4">
        <v>0</v>
      </c>
      <c r="F216" s="7">
        <v>39</v>
      </c>
      <c r="G216" s="2">
        <v>3</v>
      </c>
      <c r="H216" s="2">
        <v>4.5</v>
      </c>
      <c r="I216" s="2">
        <v>12</v>
      </c>
      <c r="J216" s="2" t="s">
        <v>512</v>
      </c>
      <c r="K216" s="2" t="str">
        <f t="shared" si="16"/>
        <v>Free</v>
      </c>
      <c r="L216" s="2" t="str">
        <f t="shared" si="13"/>
        <v>Excellent</v>
      </c>
      <c r="M216" s="2" t="str">
        <f t="shared" si="14"/>
        <v>Free Plan</v>
      </c>
      <c r="N216" s="14">
        <f t="shared" si="15"/>
        <v>54</v>
      </c>
    </row>
    <row r="217" spans="1:14" x14ac:dyDescent="0.3">
      <c r="A217" s="2" t="s">
        <v>274</v>
      </c>
      <c r="B217" s="2" t="s">
        <v>189</v>
      </c>
      <c r="C217" s="2" t="s">
        <v>291</v>
      </c>
      <c r="D217" s="2" t="s">
        <v>293</v>
      </c>
      <c r="E217" s="4">
        <v>0</v>
      </c>
      <c r="F217" s="7">
        <v>48</v>
      </c>
      <c r="G217" s="2">
        <v>3</v>
      </c>
      <c r="H217" s="2">
        <v>4.5</v>
      </c>
      <c r="I217" s="2">
        <v>12</v>
      </c>
      <c r="J217" s="2" t="s">
        <v>513</v>
      </c>
      <c r="K217" s="2" t="str">
        <f t="shared" si="16"/>
        <v>Free</v>
      </c>
      <c r="L217" s="2" t="str">
        <f t="shared" si="13"/>
        <v>Excellent</v>
      </c>
      <c r="M217" s="2" t="str">
        <f t="shared" si="14"/>
        <v>Free Plan</v>
      </c>
      <c r="N217" s="14">
        <f t="shared" si="15"/>
        <v>54</v>
      </c>
    </row>
    <row r="218" spans="1:14" x14ac:dyDescent="0.3">
      <c r="A218" s="2" t="s">
        <v>275</v>
      </c>
      <c r="B218" s="2" t="s">
        <v>193</v>
      </c>
      <c r="C218" s="2" t="s">
        <v>291</v>
      </c>
      <c r="D218" s="2" t="s">
        <v>294</v>
      </c>
      <c r="E218" s="4">
        <v>50</v>
      </c>
      <c r="F218" s="7">
        <v>100</v>
      </c>
      <c r="G218" s="2">
        <v>3</v>
      </c>
      <c r="H218" s="2">
        <v>4.5999999999999996</v>
      </c>
      <c r="I218" s="2">
        <v>12</v>
      </c>
      <c r="J218" s="2" t="s">
        <v>514</v>
      </c>
      <c r="K218" s="2" t="str">
        <f t="shared" si="16"/>
        <v>Medium</v>
      </c>
      <c r="L218" s="2" t="str">
        <f t="shared" si="13"/>
        <v>Excellent</v>
      </c>
      <c r="M218" s="2" t="str">
        <f t="shared" si="14"/>
        <v>No Free Plan</v>
      </c>
      <c r="N218" s="14">
        <f t="shared" si="15"/>
        <v>1.0823529411764705</v>
      </c>
    </row>
    <row r="219" spans="1:14" x14ac:dyDescent="0.3">
      <c r="A219" s="2" t="s">
        <v>142</v>
      </c>
      <c r="B219" s="2" t="s">
        <v>184</v>
      </c>
      <c r="C219" s="2" t="s">
        <v>291</v>
      </c>
      <c r="D219" s="2" t="s">
        <v>293</v>
      </c>
      <c r="E219" s="4">
        <v>0</v>
      </c>
      <c r="F219" s="7">
        <v>16</v>
      </c>
      <c r="G219" s="2">
        <v>2</v>
      </c>
      <c r="H219" s="2">
        <v>4.3</v>
      </c>
      <c r="I219" s="2">
        <v>8</v>
      </c>
      <c r="J219" s="2" t="s">
        <v>515</v>
      </c>
      <c r="K219" s="2" t="str">
        <f t="shared" si="16"/>
        <v>Free</v>
      </c>
      <c r="L219" s="2" t="str">
        <f t="shared" si="13"/>
        <v>Good</v>
      </c>
      <c r="M219" s="2" t="str">
        <f t="shared" si="14"/>
        <v>Free Plan</v>
      </c>
      <c r="N219" s="14">
        <f t="shared" si="15"/>
        <v>34.4</v>
      </c>
    </row>
    <row r="220" spans="1:14" x14ac:dyDescent="0.3">
      <c r="A220" s="2" t="s">
        <v>143</v>
      </c>
      <c r="B220" s="2" t="s">
        <v>184</v>
      </c>
      <c r="C220" s="2" t="s">
        <v>291</v>
      </c>
      <c r="D220" s="2" t="s">
        <v>294</v>
      </c>
      <c r="E220" s="4">
        <v>19.989999999999998</v>
      </c>
      <c r="F220" s="7">
        <v>19.989999999999998</v>
      </c>
      <c r="G220" s="2">
        <v>1</v>
      </c>
      <c r="H220" s="2">
        <v>4.5</v>
      </c>
      <c r="I220" s="2">
        <v>8</v>
      </c>
      <c r="J220" s="2" t="s">
        <v>516</v>
      </c>
      <c r="K220" s="2" t="str">
        <f t="shared" si="16"/>
        <v>Low</v>
      </c>
      <c r="L220" s="2" t="str">
        <f t="shared" si="13"/>
        <v>Excellent</v>
      </c>
      <c r="M220" s="2" t="str">
        <f t="shared" si="14"/>
        <v>No Free Plan</v>
      </c>
      <c r="N220" s="14">
        <f t="shared" si="15"/>
        <v>1.7151024297284423</v>
      </c>
    </row>
    <row r="221" spans="1:14" x14ac:dyDescent="0.3">
      <c r="A221" s="2" t="s">
        <v>276</v>
      </c>
      <c r="B221" s="2" t="s">
        <v>184</v>
      </c>
      <c r="C221" s="2" t="s">
        <v>291</v>
      </c>
      <c r="D221" s="2" t="s">
        <v>293</v>
      </c>
      <c r="E221" s="4">
        <v>0</v>
      </c>
      <c r="F221" s="7">
        <v>30</v>
      </c>
      <c r="G221" s="2">
        <v>3</v>
      </c>
      <c r="H221" s="2">
        <v>4.7</v>
      </c>
      <c r="I221" s="2">
        <v>20</v>
      </c>
      <c r="J221" s="2" t="s">
        <v>517</v>
      </c>
      <c r="K221" s="2" t="str">
        <f t="shared" si="16"/>
        <v>Free</v>
      </c>
      <c r="L221" s="2" t="str">
        <f t="shared" si="13"/>
        <v>Excellent</v>
      </c>
      <c r="M221" s="2" t="str">
        <f t="shared" si="14"/>
        <v>Free Plan</v>
      </c>
      <c r="N221" s="14">
        <f t="shared" si="15"/>
        <v>94</v>
      </c>
    </row>
    <row r="222" spans="1:14" x14ac:dyDescent="0.3">
      <c r="A222" s="2" t="s">
        <v>144</v>
      </c>
      <c r="B222" s="2" t="s">
        <v>184</v>
      </c>
      <c r="C222" s="2" t="s">
        <v>291</v>
      </c>
      <c r="D222" s="2" t="s">
        <v>293</v>
      </c>
      <c r="E222" s="4">
        <v>0</v>
      </c>
      <c r="F222" s="7">
        <v>30</v>
      </c>
      <c r="G222" s="2">
        <v>3</v>
      </c>
      <c r="H222" s="2">
        <v>4.7</v>
      </c>
      <c r="I222" s="2">
        <v>20</v>
      </c>
      <c r="J222" s="2" t="s">
        <v>440</v>
      </c>
      <c r="K222" s="2" t="str">
        <f t="shared" si="16"/>
        <v>Free</v>
      </c>
      <c r="L222" s="2" t="str">
        <f t="shared" si="13"/>
        <v>Excellent</v>
      </c>
      <c r="M222" s="2" t="str">
        <f t="shared" si="14"/>
        <v>Free Plan</v>
      </c>
      <c r="N222" s="14">
        <f t="shared" si="15"/>
        <v>94</v>
      </c>
    </row>
    <row r="223" spans="1:14" x14ac:dyDescent="0.3">
      <c r="A223" s="2" t="s">
        <v>145</v>
      </c>
      <c r="B223" s="2" t="s">
        <v>184</v>
      </c>
      <c r="C223" s="2" t="s">
        <v>291</v>
      </c>
      <c r="D223" s="2" t="s">
        <v>293</v>
      </c>
      <c r="E223" s="4">
        <v>0</v>
      </c>
      <c r="F223" s="7">
        <v>20</v>
      </c>
      <c r="G223" s="2">
        <v>2</v>
      </c>
      <c r="H223" s="2">
        <v>4.5</v>
      </c>
      <c r="I223" s="2">
        <v>20</v>
      </c>
      <c r="J223" s="2" t="s">
        <v>441</v>
      </c>
      <c r="K223" s="2" t="str">
        <f t="shared" si="16"/>
        <v>Free</v>
      </c>
      <c r="L223" s="2" t="str">
        <f t="shared" si="13"/>
        <v>Excellent</v>
      </c>
      <c r="M223" s="2" t="str">
        <f t="shared" si="14"/>
        <v>Free Plan</v>
      </c>
      <c r="N223" s="14">
        <f t="shared" si="15"/>
        <v>90</v>
      </c>
    </row>
    <row r="224" spans="1:14" x14ac:dyDescent="0.3">
      <c r="A224" s="2" t="s">
        <v>146</v>
      </c>
      <c r="B224" s="2" t="s">
        <v>184</v>
      </c>
      <c r="C224" s="2" t="s">
        <v>291</v>
      </c>
      <c r="D224" s="2" t="s">
        <v>293</v>
      </c>
      <c r="E224" s="4">
        <v>0</v>
      </c>
      <c r="F224" s="7">
        <v>16</v>
      </c>
      <c r="G224" s="2">
        <v>3</v>
      </c>
      <c r="H224" s="2">
        <v>4.2</v>
      </c>
      <c r="I224" s="2">
        <v>20</v>
      </c>
      <c r="J224" s="2" t="s">
        <v>515</v>
      </c>
      <c r="K224" s="2" t="str">
        <f t="shared" si="16"/>
        <v>Free</v>
      </c>
      <c r="L224" s="2" t="str">
        <f t="shared" si="13"/>
        <v>Good</v>
      </c>
      <c r="M224" s="2" t="str">
        <f t="shared" si="14"/>
        <v>Free Plan</v>
      </c>
      <c r="N224" s="14">
        <f t="shared" si="15"/>
        <v>84</v>
      </c>
    </row>
    <row r="225" spans="1:14" x14ac:dyDescent="0.3">
      <c r="A225" s="2" t="s">
        <v>277</v>
      </c>
      <c r="B225" s="2" t="s">
        <v>184</v>
      </c>
      <c r="C225" s="2" t="s">
        <v>291</v>
      </c>
      <c r="D225" s="2" t="s">
        <v>294</v>
      </c>
      <c r="E225" s="4">
        <v>20</v>
      </c>
      <c r="F225" s="7">
        <v>200</v>
      </c>
      <c r="G225" s="2">
        <v>2</v>
      </c>
      <c r="H225" s="2">
        <v>4.5999999999999996</v>
      </c>
      <c r="I225" s="2">
        <v>20</v>
      </c>
      <c r="J225" s="2" t="s">
        <v>518</v>
      </c>
      <c r="K225" s="2" t="str">
        <f t="shared" si="16"/>
        <v>Low</v>
      </c>
      <c r="L225" s="2" t="str">
        <f t="shared" si="13"/>
        <v>Excellent</v>
      </c>
      <c r="M225" s="2" t="str">
        <f t="shared" si="14"/>
        <v>No Free Plan</v>
      </c>
      <c r="N225" s="14">
        <f t="shared" si="15"/>
        <v>4.3809523809523814</v>
      </c>
    </row>
    <row r="226" spans="1:14" x14ac:dyDescent="0.3">
      <c r="A226" s="2" t="s">
        <v>147</v>
      </c>
      <c r="B226" s="2" t="s">
        <v>192</v>
      </c>
      <c r="C226" s="2" t="s">
        <v>291</v>
      </c>
      <c r="D226" s="2" t="s">
        <v>294</v>
      </c>
      <c r="E226" s="4">
        <v>20</v>
      </c>
      <c r="F226" s="7">
        <v>80</v>
      </c>
      <c r="G226" s="2">
        <v>3</v>
      </c>
      <c r="H226" s="2">
        <v>4</v>
      </c>
      <c r="I226" s="2">
        <v>20</v>
      </c>
      <c r="J226" s="2" t="s">
        <v>519</v>
      </c>
      <c r="K226" s="2" t="str">
        <f t="shared" si="16"/>
        <v>Low</v>
      </c>
      <c r="L226" s="2" t="str">
        <f t="shared" si="13"/>
        <v>Good</v>
      </c>
      <c r="M226" s="2" t="str">
        <f t="shared" si="14"/>
        <v>No Free Plan</v>
      </c>
      <c r="N226" s="14">
        <f t="shared" si="15"/>
        <v>3.8095238095238093</v>
      </c>
    </row>
    <row r="227" spans="1:14" x14ac:dyDescent="0.3">
      <c r="A227" s="2" t="s">
        <v>278</v>
      </c>
      <c r="B227" s="2" t="s">
        <v>192</v>
      </c>
      <c r="C227" s="2" t="s">
        <v>291</v>
      </c>
      <c r="D227" s="2" t="s">
        <v>293</v>
      </c>
      <c r="E227" s="4">
        <v>0</v>
      </c>
      <c r="F227" s="7">
        <v>199</v>
      </c>
      <c r="G227" s="2">
        <v>3</v>
      </c>
      <c r="H227" s="2">
        <v>4.5</v>
      </c>
      <c r="I227" s="2">
        <v>20</v>
      </c>
      <c r="J227" s="2" t="s">
        <v>520</v>
      </c>
      <c r="K227" s="2" t="str">
        <f t="shared" si="16"/>
        <v>Free</v>
      </c>
      <c r="L227" s="2" t="str">
        <f t="shared" si="13"/>
        <v>Excellent</v>
      </c>
      <c r="M227" s="2" t="str">
        <f t="shared" si="14"/>
        <v>Free Plan</v>
      </c>
      <c r="N227" s="14">
        <f t="shared" si="15"/>
        <v>90</v>
      </c>
    </row>
    <row r="228" spans="1:14" x14ac:dyDescent="0.3">
      <c r="A228" s="2" t="s">
        <v>148</v>
      </c>
      <c r="B228" s="2" t="s">
        <v>194</v>
      </c>
      <c r="C228" s="2" t="s">
        <v>291</v>
      </c>
      <c r="D228" s="2" t="s">
        <v>294</v>
      </c>
      <c r="E228" s="4">
        <v>39</v>
      </c>
      <c r="F228" s="7">
        <v>99</v>
      </c>
      <c r="G228" s="2">
        <v>2</v>
      </c>
      <c r="H228" s="2">
        <v>4.5</v>
      </c>
      <c r="I228" s="2">
        <v>20</v>
      </c>
      <c r="J228" s="2" t="s">
        <v>521</v>
      </c>
      <c r="K228" s="2" t="str">
        <f t="shared" si="16"/>
        <v>Medium</v>
      </c>
      <c r="L228" s="2" t="str">
        <f t="shared" si="13"/>
        <v>Excellent</v>
      </c>
      <c r="M228" s="2" t="str">
        <f t="shared" si="14"/>
        <v>No Free Plan</v>
      </c>
      <c r="N228" s="14">
        <f t="shared" si="15"/>
        <v>2.25</v>
      </c>
    </row>
    <row r="229" spans="1:14" x14ac:dyDescent="0.3">
      <c r="A229" s="2" t="s">
        <v>149</v>
      </c>
      <c r="B229" s="2" t="s">
        <v>194</v>
      </c>
      <c r="C229" s="2" t="s">
        <v>291</v>
      </c>
      <c r="D229" s="2" t="s">
        <v>293</v>
      </c>
      <c r="E229" s="4">
        <v>0</v>
      </c>
      <c r="F229" s="7">
        <v>59</v>
      </c>
      <c r="G229" s="2">
        <v>3</v>
      </c>
      <c r="H229" s="2">
        <v>4.7</v>
      </c>
      <c r="I229" s="2">
        <v>20</v>
      </c>
      <c r="J229" s="2" t="s">
        <v>522</v>
      </c>
      <c r="K229" s="2" t="str">
        <f t="shared" si="16"/>
        <v>Free</v>
      </c>
      <c r="L229" s="2" t="str">
        <f t="shared" si="13"/>
        <v>Excellent</v>
      </c>
      <c r="M229" s="2" t="str">
        <f t="shared" si="14"/>
        <v>Free Plan</v>
      </c>
      <c r="N229" s="14">
        <f t="shared" si="15"/>
        <v>94</v>
      </c>
    </row>
    <row r="230" spans="1:14" x14ac:dyDescent="0.3">
      <c r="A230" s="2" t="s">
        <v>150</v>
      </c>
      <c r="B230" s="2" t="s">
        <v>194</v>
      </c>
      <c r="C230" s="2" t="s">
        <v>291</v>
      </c>
      <c r="D230" s="2" t="s">
        <v>293</v>
      </c>
      <c r="E230" s="4">
        <v>0</v>
      </c>
      <c r="F230" s="7">
        <v>300</v>
      </c>
      <c r="G230" s="2">
        <v>4</v>
      </c>
      <c r="H230" s="2">
        <v>4.4000000000000004</v>
      </c>
      <c r="I230" s="2">
        <v>20</v>
      </c>
      <c r="J230" s="2" t="s">
        <v>523</v>
      </c>
      <c r="K230" s="2" t="str">
        <f t="shared" si="16"/>
        <v>Free</v>
      </c>
      <c r="L230" s="2" t="str">
        <f t="shared" si="13"/>
        <v>Good</v>
      </c>
      <c r="M230" s="2" t="str">
        <f t="shared" si="14"/>
        <v>Free Plan</v>
      </c>
      <c r="N230" s="14">
        <f t="shared" si="15"/>
        <v>88</v>
      </c>
    </row>
    <row r="231" spans="1:14" x14ac:dyDescent="0.3">
      <c r="A231" s="2" t="s">
        <v>151</v>
      </c>
      <c r="B231" s="2" t="s">
        <v>194</v>
      </c>
      <c r="C231" s="2" t="s">
        <v>291</v>
      </c>
      <c r="D231" s="2" t="s">
        <v>293</v>
      </c>
      <c r="E231" s="4">
        <v>0</v>
      </c>
      <c r="F231" s="7">
        <v>89</v>
      </c>
      <c r="G231" s="2">
        <v>2</v>
      </c>
      <c r="H231" s="2">
        <v>4.5999999999999996</v>
      </c>
      <c r="I231" s="2">
        <v>20</v>
      </c>
      <c r="J231" s="2" t="s">
        <v>524</v>
      </c>
      <c r="K231" s="2" t="str">
        <f t="shared" si="16"/>
        <v>Free</v>
      </c>
      <c r="L231" s="2" t="str">
        <f t="shared" si="13"/>
        <v>Excellent</v>
      </c>
      <c r="M231" s="2" t="str">
        <f t="shared" si="14"/>
        <v>Free Plan</v>
      </c>
      <c r="N231" s="14">
        <f t="shared" si="15"/>
        <v>92</v>
      </c>
    </row>
    <row r="232" spans="1:14" x14ac:dyDescent="0.3">
      <c r="A232" s="2" t="s">
        <v>152</v>
      </c>
      <c r="B232" s="2" t="s">
        <v>194</v>
      </c>
      <c r="C232" s="2" t="s">
        <v>291</v>
      </c>
      <c r="D232" s="2" t="s">
        <v>293</v>
      </c>
      <c r="E232" s="4">
        <v>0</v>
      </c>
      <c r="F232" s="7">
        <v>125</v>
      </c>
      <c r="G232" s="2">
        <v>3</v>
      </c>
      <c r="H232" s="2">
        <v>4.5</v>
      </c>
      <c r="I232" s="2">
        <v>20</v>
      </c>
      <c r="J232" s="2" t="s">
        <v>525</v>
      </c>
      <c r="K232" s="2" t="str">
        <f t="shared" si="16"/>
        <v>Free</v>
      </c>
      <c r="L232" s="2" t="str">
        <f t="shared" si="13"/>
        <v>Excellent</v>
      </c>
      <c r="M232" s="2" t="str">
        <f t="shared" si="14"/>
        <v>Free Plan</v>
      </c>
      <c r="N232" s="14">
        <f t="shared" si="15"/>
        <v>90</v>
      </c>
    </row>
    <row r="233" spans="1:14" x14ac:dyDescent="0.3">
      <c r="A233" s="2" t="s">
        <v>153</v>
      </c>
      <c r="B233" s="2" t="s">
        <v>190</v>
      </c>
      <c r="C233" s="2" t="s">
        <v>291</v>
      </c>
      <c r="D233" s="2" t="s">
        <v>293</v>
      </c>
      <c r="E233" s="4">
        <v>0</v>
      </c>
      <c r="F233" s="7">
        <v>40</v>
      </c>
      <c r="G233" s="2">
        <v>4</v>
      </c>
      <c r="H233" s="2">
        <v>4.5999999999999996</v>
      </c>
      <c r="I233" s="2">
        <v>20</v>
      </c>
      <c r="J233" s="2" t="s">
        <v>493</v>
      </c>
      <c r="K233" s="2" t="str">
        <f t="shared" si="16"/>
        <v>Free</v>
      </c>
      <c r="L233" s="2" t="str">
        <f t="shared" si="13"/>
        <v>Excellent</v>
      </c>
      <c r="M233" s="2" t="str">
        <f t="shared" si="14"/>
        <v>Free Plan</v>
      </c>
      <c r="N233" s="14">
        <f t="shared" si="15"/>
        <v>92</v>
      </c>
    </row>
    <row r="234" spans="1:14" x14ac:dyDescent="0.3">
      <c r="A234" s="2" t="s">
        <v>279</v>
      </c>
      <c r="B234" s="2" t="s">
        <v>185</v>
      </c>
      <c r="C234" s="2" t="s">
        <v>291</v>
      </c>
      <c r="D234" s="2" t="s">
        <v>294</v>
      </c>
      <c r="E234" s="4">
        <v>99</v>
      </c>
      <c r="F234" s="7">
        <v>182</v>
      </c>
      <c r="G234" s="2">
        <v>3</v>
      </c>
      <c r="H234" s="2">
        <v>4.8</v>
      </c>
      <c r="I234" s="2">
        <v>20</v>
      </c>
      <c r="J234" s="2" t="s">
        <v>526</v>
      </c>
      <c r="K234" s="2" t="str">
        <f t="shared" si="16"/>
        <v>High</v>
      </c>
      <c r="L234" s="2" t="str">
        <f t="shared" si="13"/>
        <v>Excellent</v>
      </c>
      <c r="M234" s="2" t="str">
        <f t="shared" si="14"/>
        <v>No Free Plan</v>
      </c>
      <c r="N234" s="14">
        <f t="shared" si="15"/>
        <v>0.96</v>
      </c>
    </row>
    <row r="235" spans="1:14" x14ac:dyDescent="0.3">
      <c r="A235" s="2" t="s">
        <v>154</v>
      </c>
      <c r="B235" s="2" t="s">
        <v>189</v>
      </c>
      <c r="C235" s="2" t="s">
        <v>291</v>
      </c>
      <c r="D235" s="2" t="s">
        <v>294</v>
      </c>
      <c r="E235" s="4">
        <v>20</v>
      </c>
      <c r="F235" s="7">
        <v>200</v>
      </c>
      <c r="G235" s="2">
        <v>2</v>
      </c>
      <c r="H235" s="2">
        <v>4.3</v>
      </c>
      <c r="I235" s="2">
        <v>20</v>
      </c>
      <c r="J235" s="2" t="s">
        <v>527</v>
      </c>
      <c r="K235" s="2" t="str">
        <f t="shared" si="16"/>
        <v>Low</v>
      </c>
      <c r="L235" s="2" t="str">
        <f t="shared" si="13"/>
        <v>Good</v>
      </c>
      <c r="M235" s="2" t="str">
        <f t="shared" si="14"/>
        <v>No Free Plan</v>
      </c>
      <c r="N235" s="14">
        <f t="shared" si="15"/>
        <v>4.0952380952380949</v>
      </c>
    </row>
    <row r="236" spans="1:14" x14ac:dyDescent="0.3">
      <c r="A236" s="2" t="s">
        <v>155</v>
      </c>
      <c r="B236" s="2" t="s">
        <v>191</v>
      </c>
      <c r="C236" s="2" t="s">
        <v>291</v>
      </c>
      <c r="D236" s="2" t="s">
        <v>293</v>
      </c>
      <c r="E236" s="4">
        <v>0</v>
      </c>
      <c r="F236" s="7">
        <v>29</v>
      </c>
      <c r="G236" s="2">
        <v>2</v>
      </c>
      <c r="H236" s="2">
        <v>4.7</v>
      </c>
      <c r="I236" s="2">
        <v>20</v>
      </c>
      <c r="J236" s="2" t="s">
        <v>528</v>
      </c>
      <c r="K236" s="2" t="str">
        <f t="shared" si="16"/>
        <v>Free</v>
      </c>
      <c r="L236" s="2" t="str">
        <f t="shared" si="13"/>
        <v>Excellent</v>
      </c>
      <c r="M236" s="2" t="str">
        <f t="shared" si="14"/>
        <v>Free Plan</v>
      </c>
      <c r="N236" s="14">
        <f t="shared" si="15"/>
        <v>94</v>
      </c>
    </row>
    <row r="237" spans="1:14" x14ac:dyDescent="0.3">
      <c r="A237" s="2" t="s">
        <v>156</v>
      </c>
      <c r="B237" s="2" t="s">
        <v>195</v>
      </c>
      <c r="C237" s="2" t="s">
        <v>157</v>
      </c>
      <c r="D237" s="2" t="s">
        <v>293</v>
      </c>
      <c r="E237" s="4">
        <v>0</v>
      </c>
      <c r="F237" s="7">
        <v>60</v>
      </c>
      <c r="G237" s="2">
        <v>4</v>
      </c>
      <c r="H237" s="2">
        <v>4.3</v>
      </c>
      <c r="I237" s="2">
        <v>12</v>
      </c>
      <c r="J237" s="2" t="s">
        <v>529</v>
      </c>
      <c r="K237" s="2" t="str">
        <f t="shared" si="16"/>
        <v>Free</v>
      </c>
      <c r="L237" s="2" t="str">
        <f t="shared" si="13"/>
        <v>Good</v>
      </c>
      <c r="M237" s="2" t="str">
        <f t="shared" si="14"/>
        <v>Free Plan</v>
      </c>
      <c r="N237" s="14">
        <f t="shared" si="15"/>
        <v>51.599999999999994</v>
      </c>
    </row>
    <row r="238" spans="1:14" x14ac:dyDescent="0.3">
      <c r="A238" s="2" t="s">
        <v>158</v>
      </c>
      <c r="B238" s="2" t="s">
        <v>195</v>
      </c>
      <c r="C238" s="2" t="s">
        <v>157</v>
      </c>
      <c r="D238" s="2" t="s">
        <v>293</v>
      </c>
      <c r="E238" s="4">
        <v>0</v>
      </c>
      <c r="F238" s="7">
        <v>129</v>
      </c>
      <c r="G238" s="2">
        <v>4</v>
      </c>
      <c r="H238" s="2">
        <v>4</v>
      </c>
      <c r="I238" s="2">
        <v>12</v>
      </c>
      <c r="J238" s="2" t="s">
        <v>530</v>
      </c>
      <c r="K238" s="2" t="str">
        <f t="shared" si="16"/>
        <v>Free</v>
      </c>
      <c r="L238" s="2" t="str">
        <f t="shared" si="13"/>
        <v>Good</v>
      </c>
      <c r="M238" s="2" t="str">
        <f t="shared" si="14"/>
        <v>Free Plan</v>
      </c>
      <c r="N238" s="14">
        <f t="shared" si="15"/>
        <v>48</v>
      </c>
    </row>
    <row r="239" spans="1:14" x14ac:dyDescent="0.3">
      <c r="A239" s="2" t="s">
        <v>159</v>
      </c>
      <c r="B239" s="2" t="s">
        <v>195</v>
      </c>
      <c r="C239" s="2" t="s">
        <v>157</v>
      </c>
      <c r="D239" s="2" t="s">
        <v>293</v>
      </c>
      <c r="E239" s="4">
        <v>0</v>
      </c>
      <c r="F239" s="7">
        <v>96</v>
      </c>
      <c r="G239" s="2">
        <v>2</v>
      </c>
      <c r="H239" s="2">
        <v>4.3</v>
      </c>
      <c r="I239" s="2">
        <v>12</v>
      </c>
      <c r="J239" s="2" t="s">
        <v>531</v>
      </c>
      <c r="K239" s="2" t="str">
        <f t="shared" si="16"/>
        <v>Free</v>
      </c>
      <c r="L239" s="2" t="str">
        <f t="shared" si="13"/>
        <v>Good</v>
      </c>
      <c r="M239" s="2" t="str">
        <f t="shared" si="14"/>
        <v>Free Plan</v>
      </c>
      <c r="N239" s="14">
        <f t="shared" si="15"/>
        <v>51.599999999999994</v>
      </c>
    </row>
    <row r="240" spans="1:14" x14ac:dyDescent="0.3">
      <c r="A240" s="2" t="s">
        <v>160</v>
      </c>
      <c r="B240" s="2" t="s">
        <v>195</v>
      </c>
      <c r="C240" s="2" t="s">
        <v>157</v>
      </c>
      <c r="D240" s="2" t="s">
        <v>293</v>
      </c>
      <c r="E240" s="4">
        <v>0</v>
      </c>
      <c r="F240" s="7">
        <v>119</v>
      </c>
      <c r="G240" s="2">
        <v>4</v>
      </c>
      <c r="H240" s="2">
        <v>4.2</v>
      </c>
      <c r="I240" s="2">
        <v>12</v>
      </c>
      <c r="J240" s="2" t="s">
        <v>532</v>
      </c>
      <c r="K240" s="2" t="str">
        <f t="shared" si="16"/>
        <v>Free</v>
      </c>
      <c r="L240" s="2" t="str">
        <f t="shared" si="13"/>
        <v>Good</v>
      </c>
      <c r="M240" s="2" t="str">
        <f t="shared" si="14"/>
        <v>Free Plan</v>
      </c>
      <c r="N240" s="14">
        <f t="shared" si="15"/>
        <v>50.400000000000006</v>
      </c>
    </row>
    <row r="241" spans="1:14" x14ac:dyDescent="0.3">
      <c r="A241" s="2" t="s">
        <v>161</v>
      </c>
      <c r="B241" s="2" t="s">
        <v>195</v>
      </c>
      <c r="C241" s="2" t="s">
        <v>157</v>
      </c>
      <c r="D241" s="2" t="s">
        <v>293</v>
      </c>
      <c r="E241" s="4">
        <v>0</v>
      </c>
      <c r="F241" s="7">
        <v>59</v>
      </c>
      <c r="G241" s="2">
        <v>4</v>
      </c>
      <c r="H241" s="2">
        <v>4.0999999999999996</v>
      </c>
      <c r="I241" s="2">
        <v>12</v>
      </c>
      <c r="J241" s="2" t="s">
        <v>533</v>
      </c>
      <c r="K241" s="2" t="str">
        <f t="shared" si="16"/>
        <v>Free</v>
      </c>
      <c r="L241" s="2" t="str">
        <f t="shared" si="13"/>
        <v>Good</v>
      </c>
      <c r="M241" s="2" t="str">
        <f t="shared" si="14"/>
        <v>Free Plan</v>
      </c>
      <c r="N241" s="14">
        <f t="shared" si="15"/>
        <v>49.199999999999996</v>
      </c>
    </row>
    <row r="242" spans="1:14" x14ac:dyDescent="0.3">
      <c r="A242" s="2" t="s">
        <v>280</v>
      </c>
      <c r="B242" s="2" t="s">
        <v>195</v>
      </c>
      <c r="C242" s="2" t="s">
        <v>157</v>
      </c>
      <c r="D242" s="2" t="s">
        <v>293</v>
      </c>
      <c r="E242" s="4">
        <v>0</v>
      </c>
      <c r="F242" s="7">
        <v>45</v>
      </c>
      <c r="G242" s="2">
        <v>4</v>
      </c>
      <c r="H242" s="2">
        <v>3.9</v>
      </c>
      <c r="I242" s="2">
        <v>12</v>
      </c>
      <c r="J242" s="2" t="s">
        <v>534</v>
      </c>
      <c r="K242" s="2" t="str">
        <f t="shared" si="16"/>
        <v>Free</v>
      </c>
      <c r="L242" s="2" t="str">
        <f t="shared" si="13"/>
        <v>Average</v>
      </c>
      <c r="M242" s="2" t="str">
        <f t="shared" si="14"/>
        <v>Free Plan</v>
      </c>
      <c r="N242" s="14">
        <f t="shared" si="15"/>
        <v>46.8</v>
      </c>
    </row>
    <row r="243" spans="1:14" x14ac:dyDescent="0.3">
      <c r="A243" s="2" t="s">
        <v>281</v>
      </c>
      <c r="B243" s="2" t="s">
        <v>195</v>
      </c>
      <c r="C243" s="2" t="s">
        <v>157</v>
      </c>
      <c r="D243" s="2" t="s">
        <v>293</v>
      </c>
      <c r="E243" s="4">
        <v>0</v>
      </c>
      <c r="F243" s="7">
        <v>69</v>
      </c>
      <c r="G243" s="2">
        <v>4</v>
      </c>
      <c r="H243" s="2">
        <v>4</v>
      </c>
      <c r="I243" s="2">
        <v>12</v>
      </c>
      <c r="J243" s="2" t="s">
        <v>535</v>
      </c>
      <c r="K243" s="2" t="str">
        <f t="shared" si="16"/>
        <v>Free</v>
      </c>
      <c r="L243" s="2" t="str">
        <f t="shared" si="13"/>
        <v>Good</v>
      </c>
      <c r="M243" s="2" t="str">
        <f t="shared" si="14"/>
        <v>Free Plan</v>
      </c>
      <c r="N243" s="14">
        <f t="shared" si="15"/>
        <v>48</v>
      </c>
    </row>
    <row r="244" spans="1:14" x14ac:dyDescent="0.3">
      <c r="A244" s="2" t="s">
        <v>162</v>
      </c>
      <c r="B244" s="2" t="s">
        <v>195</v>
      </c>
      <c r="C244" s="2" t="s">
        <v>157</v>
      </c>
      <c r="D244" s="2" t="s">
        <v>293</v>
      </c>
      <c r="E244" s="4">
        <v>0</v>
      </c>
      <c r="F244" s="7">
        <v>55</v>
      </c>
      <c r="G244" s="2">
        <v>4</v>
      </c>
      <c r="H244" s="2">
        <v>4.2</v>
      </c>
      <c r="I244" s="2">
        <v>12</v>
      </c>
      <c r="J244" s="2" t="s">
        <v>536</v>
      </c>
      <c r="K244" s="2" t="str">
        <f t="shared" si="16"/>
        <v>Free</v>
      </c>
      <c r="L244" s="2" t="str">
        <f t="shared" si="13"/>
        <v>Good</v>
      </c>
      <c r="M244" s="2" t="str">
        <f t="shared" si="14"/>
        <v>Free Plan</v>
      </c>
      <c r="N244" s="14">
        <f t="shared" si="15"/>
        <v>50.400000000000006</v>
      </c>
    </row>
    <row r="245" spans="1:14" x14ac:dyDescent="0.3">
      <c r="A245" s="2" t="s">
        <v>282</v>
      </c>
      <c r="B245" s="2" t="s">
        <v>196</v>
      </c>
      <c r="C245" s="2" t="s">
        <v>157</v>
      </c>
      <c r="D245" s="2" t="s">
        <v>293</v>
      </c>
      <c r="E245" s="4">
        <v>0</v>
      </c>
      <c r="F245" s="7">
        <v>79</v>
      </c>
      <c r="G245" s="2">
        <v>3</v>
      </c>
      <c r="H245" s="2">
        <v>4.4000000000000004</v>
      </c>
      <c r="I245" s="2">
        <v>11</v>
      </c>
      <c r="J245" s="2" t="s">
        <v>537</v>
      </c>
      <c r="K245" s="2" t="str">
        <f t="shared" si="16"/>
        <v>Free</v>
      </c>
      <c r="L245" s="2" t="str">
        <f t="shared" si="13"/>
        <v>Good</v>
      </c>
      <c r="M245" s="2" t="str">
        <f t="shared" si="14"/>
        <v>Free Plan</v>
      </c>
      <c r="N245" s="14">
        <f t="shared" si="15"/>
        <v>48.400000000000006</v>
      </c>
    </row>
    <row r="246" spans="1:14" x14ac:dyDescent="0.3">
      <c r="A246" s="2" t="s">
        <v>163</v>
      </c>
      <c r="B246" s="2" t="s">
        <v>196</v>
      </c>
      <c r="C246" s="2" t="s">
        <v>157</v>
      </c>
      <c r="D246" s="2" t="s">
        <v>293</v>
      </c>
      <c r="E246" s="4">
        <v>0</v>
      </c>
      <c r="F246" s="7">
        <v>999</v>
      </c>
      <c r="G246" s="2">
        <v>3</v>
      </c>
      <c r="H246" s="2">
        <v>4.5</v>
      </c>
      <c r="I246" s="2">
        <v>12</v>
      </c>
      <c r="J246" s="2" t="s">
        <v>538</v>
      </c>
      <c r="K246" s="2" t="str">
        <f t="shared" si="16"/>
        <v>Free</v>
      </c>
      <c r="L246" s="2" t="str">
        <f t="shared" si="13"/>
        <v>Excellent</v>
      </c>
      <c r="M246" s="2" t="str">
        <f t="shared" si="14"/>
        <v>Free Plan</v>
      </c>
      <c r="N246" s="14">
        <f t="shared" si="15"/>
        <v>54</v>
      </c>
    </row>
    <row r="247" spans="1:14" x14ac:dyDescent="0.3">
      <c r="A247" s="2" t="s">
        <v>164</v>
      </c>
      <c r="B247" s="2" t="s">
        <v>196</v>
      </c>
      <c r="C247" s="2" t="s">
        <v>157</v>
      </c>
      <c r="D247" s="2" t="s">
        <v>294</v>
      </c>
      <c r="E247" s="4">
        <v>150</v>
      </c>
      <c r="F247" s="7">
        <v>500</v>
      </c>
      <c r="G247" s="2">
        <v>3</v>
      </c>
      <c r="H247" s="2">
        <v>4.5</v>
      </c>
      <c r="I247" s="2">
        <v>12</v>
      </c>
      <c r="J247" s="2" t="s">
        <v>539</v>
      </c>
      <c r="K247" s="2" t="str">
        <f t="shared" si="16"/>
        <v>High</v>
      </c>
      <c r="L247" s="2" t="str">
        <f t="shared" si="13"/>
        <v>Excellent</v>
      </c>
      <c r="M247" s="2" t="str">
        <f t="shared" si="14"/>
        <v>No Free Plan</v>
      </c>
      <c r="N247" s="14">
        <f t="shared" si="15"/>
        <v>0.35761589403973509</v>
      </c>
    </row>
    <row r="248" spans="1:14" x14ac:dyDescent="0.3">
      <c r="A248" s="2" t="s">
        <v>165</v>
      </c>
      <c r="B248" s="2" t="s">
        <v>196</v>
      </c>
      <c r="C248" s="2" t="s">
        <v>157</v>
      </c>
      <c r="D248" s="2" t="s">
        <v>293</v>
      </c>
      <c r="E248" s="4">
        <v>0</v>
      </c>
      <c r="F248" s="7">
        <v>249</v>
      </c>
      <c r="G248" s="2">
        <v>4</v>
      </c>
      <c r="H248" s="2">
        <v>4</v>
      </c>
      <c r="I248" s="2">
        <v>12</v>
      </c>
      <c r="J248" s="2" t="s">
        <v>540</v>
      </c>
      <c r="K248" s="2" t="str">
        <f t="shared" si="16"/>
        <v>Free</v>
      </c>
      <c r="L248" s="2" t="str">
        <f t="shared" si="13"/>
        <v>Good</v>
      </c>
      <c r="M248" s="2" t="str">
        <f t="shared" si="14"/>
        <v>Free Plan</v>
      </c>
      <c r="N248" s="14">
        <f t="shared" si="15"/>
        <v>48</v>
      </c>
    </row>
    <row r="249" spans="1:14" x14ac:dyDescent="0.3">
      <c r="A249" s="2" t="s">
        <v>166</v>
      </c>
      <c r="B249" s="2" t="s">
        <v>196</v>
      </c>
      <c r="C249" s="2" t="s">
        <v>157</v>
      </c>
      <c r="D249" s="2" t="s">
        <v>293</v>
      </c>
      <c r="E249" s="4">
        <v>0</v>
      </c>
      <c r="F249" s="7">
        <v>399</v>
      </c>
      <c r="G249" s="2">
        <v>4</v>
      </c>
      <c r="H249" s="2">
        <v>4.5999999999999996</v>
      </c>
      <c r="I249" s="2">
        <v>12</v>
      </c>
      <c r="J249" s="2" t="s">
        <v>541</v>
      </c>
      <c r="K249" s="2" t="str">
        <f t="shared" si="16"/>
        <v>Free</v>
      </c>
      <c r="L249" s="2" t="str">
        <f t="shared" si="13"/>
        <v>Excellent</v>
      </c>
      <c r="M249" s="2" t="str">
        <f t="shared" si="14"/>
        <v>Free Plan</v>
      </c>
      <c r="N249" s="14">
        <f t="shared" si="15"/>
        <v>55.199999999999996</v>
      </c>
    </row>
    <row r="250" spans="1:14" x14ac:dyDescent="0.3">
      <c r="A250" s="2" t="s">
        <v>167</v>
      </c>
      <c r="B250" s="2" t="s">
        <v>196</v>
      </c>
      <c r="C250" s="2" t="s">
        <v>157</v>
      </c>
      <c r="D250" s="2" t="s">
        <v>293</v>
      </c>
      <c r="E250" s="4">
        <v>0</v>
      </c>
      <c r="F250" s="7">
        <v>350</v>
      </c>
      <c r="G250" s="2">
        <v>3</v>
      </c>
      <c r="H250" s="2">
        <v>4.2</v>
      </c>
      <c r="I250" s="2">
        <v>12</v>
      </c>
      <c r="J250" s="2" t="s">
        <v>542</v>
      </c>
      <c r="K250" s="2" t="str">
        <f t="shared" si="16"/>
        <v>Free</v>
      </c>
      <c r="L250" s="2" t="str">
        <f t="shared" si="13"/>
        <v>Good</v>
      </c>
      <c r="M250" s="2" t="str">
        <f t="shared" si="14"/>
        <v>Free Plan</v>
      </c>
      <c r="N250" s="14">
        <f t="shared" si="15"/>
        <v>50.400000000000006</v>
      </c>
    </row>
    <row r="251" spans="1:14" x14ac:dyDescent="0.3">
      <c r="A251" s="2" t="s">
        <v>283</v>
      </c>
      <c r="B251" s="2" t="s">
        <v>196</v>
      </c>
      <c r="C251" s="2" t="s">
        <v>157</v>
      </c>
      <c r="D251" s="2" t="s">
        <v>293</v>
      </c>
      <c r="E251" s="4">
        <v>0</v>
      </c>
      <c r="F251" s="7">
        <v>100</v>
      </c>
      <c r="G251" s="2">
        <v>3</v>
      </c>
      <c r="H251" s="2">
        <v>4</v>
      </c>
      <c r="I251" s="2">
        <v>12</v>
      </c>
      <c r="J251" s="2" t="s">
        <v>543</v>
      </c>
      <c r="K251" s="2" t="str">
        <f t="shared" si="16"/>
        <v>Free</v>
      </c>
      <c r="L251" s="2" t="str">
        <f t="shared" si="13"/>
        <v>Good</v>
      </c>
      <c r="M251" s="2" t="str">
        <f t="shared" si="14"/>
        <v>Free Plan</v>
      </c>
      <c r="N251" s="14">
        <f t="shared" si="15"/>
        <v>48</v>
      </c>
    </row>
    <row r="252" spans="1:14" x14ac:dyDescent="0.3">
      <c r="A252" s="2" t="s">
        <v>168</v>
      </c>
      <c r="B252" s="2" t="s">
        <v>197</v>
      </c>
      <c r="C252" s="2" t="s">
        <v>157</v>
      </c>
      <c r="D252" s="2" t="s">
        <v>293</v>
      </c>
      <c r="E252" s="4">
        <v>0</v>
      </c>
      <c r="F252" s="7">
        <v>199</v>
      </c>
      <c r="G252" s="2">
        <v>4</v>
      </c>
      <c r="H252" s="2">
        <v>4.3</v>
      </c>
      <c r="I252" s="2">
        <v>12</v>
      </c>
      <c r="J252" s="2" t="s">
        <v>544</v>
      </c>
      <c r="K252" s="2" t="str">
        <f t="shared" si="16"/>
        <v>Free</v>
      </c>
      <c r="L252" s="2" t="str">
        <f t="shared" si="13"/>
        <v>Good</v>
      </c>
      <c r="M252" s="2" t="str">
        <f t="shared" si="14"/>
        <v>Free Plan</v>
      </c>
      <c r="N252" s="14">
        <f t="shared" si="15"/>
        <v>51.599999999999994</v>
      </c>
    </row>
    <row r="253" spans="1:14" x14ac:dyDescent="0.3">
      <c r="A253" s="2" t="s">
        <v>284</v>
      </c>
      <c r="B253" s="2" t="s">
        <v>197</v>
      </c>
      <c r="C253" s="2" t="s">
        <v>157</v>
      </c>
      <c r="D253" s="2" t="s">
        <v>293</v>
      </c>
      <c r="E253" s="4">
        <v>0</v>
      </c>
      <c r="F253" s="7">
        <v>599</v>
      </c>
      <c r="G253" s="2">
        <v>4</v>
      </c>
      <c r="H253" s="2">
        <v>4.0999999999999996</v>
      </c>
      <c r="I253" s="2">
        <v>12</v>
      </c>
      <c r="J253" s="2" t="s">
        <v>545</v>
      </c>
      <c r="K253" s="2" t="str">
        <f t="shared" si="16"/>
        <v>Free</v>
      </c>
      <c r="L253" s="2" t="str">
        <f t="shared" si="13"/>
        <v>Good</v>
      </c>
      <c r="M253" s="2" t="str">
        <f t="shared" si="14"/>
        <v>Free Plan</v>
      </c>
      <c r="N253" s="14">
        <f t="shared" si="15"/>
        <v>49.199999999999996</v>
      </c>
    </row>
    <row r="254" spans="1:14" x14ac:dyDescent="0.3">
      <c r="A254" s="2" t="s">
        <v>285</v>
      </c>
      <c r="B254" s="2" t="s">
        <v>197</v>
      </c>
      <c r="C254" s="2" t="s">
        <v>157</v>
      </c>
      <c r="D254" s="2" t="s">
        <v>294</v>
      </c>
      <c r="E254" s="4">
        <v>49</v>
      </c>
      <c r="F254" s="7">
        <v>3499</v>
      </c>
      <c r="G254" s="2">
        <v>3</v>
      </c>
      <c r="H254" s="2">
        <v>4</v>
      </c>
      <c r="I254" s="2">
        <v>12</v>
      </c>
      <c r="J254" s="2" t="s">
        <v>546</v>
      </c>
      <c r="K254" s="2" t="str">
        <f t="shared" si="16"/>
        <v>Medium</v>
      </c>
      <c r="L254" s="2" t="str">
        <f t="shared" si="13"/>
        <v>Good</v>
      </c>
      <c r="M254" s="2" t="str">
        <f t="shared" si="14"/>
        <v>No Free Plan</v>
      </c>
      <c r="N254" s="14">
        <f t="shared" si="15"/>
        <v>0.96</v>
      </c>
    </row>
    <row r="255" spans="1:14" x14ac:dyDescent="0.3">
      <c r="A255" s="2" t="s">
        <v>286</v>
      </c>
      <c r="B255" s="2" t="s">
        <v>197</v>
      </c>
      <c r="C255" s="2" t="s">
        <v>157</v>
      </c>
      <c r="D255" s="2" t="s">
        <v>293</v>
      </c>
      <c r="E255" s="4">
        <v>0</v>
      </c>
      <c r="F255" s="7">
        <v>399</v>
      </c>
      <c r="G255" s="2">
        <v>4</v>
      </c>
      <c r="H255" s="2">
        <v>4</v>
      </c>
      <c r="I255" s="2">
        <v>12</v>
      </c>
      <c r="J255" s="2" t="s">
        <v>547</v>
      </c>
      <c r="K255" s="2" t="str">
        <f t="shared" si="16"/>
        <v>Free</v>
      </c>
      <c r="L255" s="2" t="str">
        <f t="shared" si="13"/>
        <v>Good</v>
      </c>
      <c r="M255" s="2" t="str">
        <f t="shared" si="14"/>
        <v>Free Plan</v>
      </c>
      <c r="N255" s="14">
        <f t="shared" si="15"/>
        <v>48</v>
      </c>
    </row>
    <row r="256" spans="1:14" x14ac:dyDescent="0.3">
      <c r="A256" s="2" t="s">
        <v>287</v>
      </c>
      <c r="B256" s="2" t="s">
        <v>197</v>
      </c>
      <c r="C256" s="2" t="s">
        <v>157</v>
      </c>
      <c r="D256" s="2" t="s">
        <v>293</v>
      </c>
      <c r="E256" s="4">
        <v>0</v>
      </c>
      <c r="F256" s="7">
        <v>199</v>
      </c>
      <c r="G256" s="2">
        <v>4</v>
      </c>
      <c r="H256" s="2">
        <v>4.2</v>
      </c>
      <c r="I256" s="2">
        <v>12</v>
      </c>
      <c r="J256" s="2" t="s">
        <v>548</v>
      </c>
      <c r="K256" s="2" t="str">
        <f t="shared" si="16"/>
        <v>Free</v>
      </c>
      <c r="L256" s="2" t="str">
        <f t="shared" si="13"/>
        <v>Good</v>
      </c>
      <c r="M256" s="2" t="str">
        <f t="shared" si="14"/>
        <v>Free Plan</v>
      </c>
      <c r="N256" s="14">
        <f t="shared" si="15"/>
        <v>50.400000000000006</v>
      </c>
    </row>
    <row r="257" spans="1:14" x14ac:dyDescent="0.3">
      <c r="A257" s="2" t="s">
        <v>169</v>
      </c>
      <c r="B257" s="2" t="s">
        <v>197</v>
      </c>
      <c r="C257" s="2" t="s">
        <v>157</v>
      </c>
      <c r="D257" s="2" t="s">
        <v>293</v>
      </c>
      <c r="E257" s="4">
        <v>0</v>
      </c>
      <c r="F257" s="7">
        <v>199</v>
      </c>
      <c r="G257" s="2">
        <v>4</v>
      </c>
      <c r="H257" s="2">
        <v>4.0999999999999996</v>
      </c>
      <c r="I257" s="2">
        <v>12</v>
      </c>
      <c r="J257" s="2" t="s">
        <v>549</v>
      </c>
      <c r="K257" s="2" t="str">
        <f t="shared" si="16"/>
        <v>Free</v>
      </c>
      <c r="L257" s="2" t="str">
        <f t="shared" si="13"/>
        <v>Good</v>
      </c>
      <c r="M257" s="2" t="str">
        <f t="shared" si="14"/>
        <v>Free Plan</v>
      </c>
      <c r="N257" s="14">
        <f t="shared" si="15"/>
        <v>49.199999999999996</v>
      </c>
    </row>
    <row r="258" spans="1:14" x14ac:dyDescent="0.3">
      <c r="A258" s="2" t="s">
        <v>288</v>
      </c>
      <c r="B258" s="2" t="s">
        <v>198</v>
      </c>
      <c r="C258" s="2" t="s">
        <v>157</v>
      </c>
      <c r="D258" s="2" t="s">
        <v>293</v>
      </c>
      <c r="E258" s="4">
        <v>0</v>
      </c>
      <c r="F258" s="7">
        <v>13.99</v>
      </c>
      <c r="G258" s="2">
        <v>2</v>
      </c>
      <c r="H258" s="2">
        <v>4.4000000000000004</v>
      </c>
      <c r="I258" s="2">
        <v>12</v>
      </c>
      <c r="J258" s="2" t="s">
        <v>550</v>
      </c>
      <c r="K258" s="2" t="str">
        <f t="shared" si="16"/>
        <v>Free</v>
      </c>
      <c r="L258" s="2" t="str">
        <f t="shared" si="13"/>
        <v>Good</v>
      </c>
      <c r="M258" s="2" t="str">
        <f t="shared" si="14"/>
        <v>Free Plan</v>
      </c>
      <c r="N258" s="14">
        <f t="shared" si="15"/>
        <v>52.800000000000004</v>
      </c>
    </row>
    <row r="259" spans="1:14" x14ac:dyDescent="0.3">
      <c r="A259" s="2" t="s">
        <v>170</v>
      </c>
      <c r="B259" s="2" t="s">
        <v>198</v>
      </c>
      <c r="C259" s="2" t="s">
        <v>157</v>
      </c>
      <c r="D259" s="2" t="s">
        <v>293</v>
      </c>
      <c r="E259" s="4">
        <v>0</v>
      </c>
      <c r="F259" s="7">
        <v>8.99</v>
      </c>
      <c r="G259" s="2">
        <v>2</v>
      </c>
      <c r="H259" s="2">
        <v>4.2</v>
      </c>
      <c r="I259" s="2">
        <v>12</v>
      </c>
      <c r="J259" s="2" t="s">
        <v>551</v>
      </c>
      <c r="K259" s="2" t="str">
        <f t="shared" si="16"/>
        <v>Free</v>
      </c>
      <c r="L259" s="2" t="str">
        <f t="shared" ref="L259:L265" si="17">IF(H259&gt;=4.5,"Excellent",IF(H259&gt;=4,"Good","Average"))</f>
        <v>Good</v>
      </c>
      <c r="M259" s="2" t="str">
        <f t="shared" ref="M259:M265" si="18">IF(TRIM(UPPER(D259))="TRUE","Free Plan","No Free Plan")</f>
        <v>Free Plan</v>
      </c>
      <c r="N259" s="14">
        <f t="shared" ref="N259:N265" si="19">H259*I259/(E259+1)</f>
        <v>50.400000000000006</v>
      </c>
    </row>
    <row r="260" spans="1:14" x14ac:dyDescent="0.3">
      <c r="A260" s="2" t="s">
        <v>171</v>
      </c>
      <c r="B260" s="2" t="s">
        <v>198</v>
      </c>
      <c r="C260" s="2" t="s">
        <v>157</v>
      </c>
      <c r="D260" s="2" t="s">
        <v>293</v>
      </c>
      <c r="E260" s="4">
        <v>0</v>
      </c>
      <c r="F260" s="7">
        <v>14.99</v>
      </c>
      <c r="G260" s="2">
        <v>2</v>
      </c>
      <c r="H260" s="2">
        <v>4.5</v>
      </c>
      <c r="I260" s="2">
        <v>12</v>
      </c>
      <c r="J260" s="2" t="s">
        <v>552</v>
      </c>
      <c r="K260" s="2" t="str">
        <f t="shared" si="16"/>
        <v>Free</v>
      </c>
      <c r="L260" s="2" t="str">
        <f t="shared" si="17"/>
        <v>Excellent</v>
      </c>
      <c r="M260" s="2" t="str">
        <f t="shared" si="18"/>
        <v>Free Plan</v>
      </c>
      <c r="N260" s="14">
        <f t="shared" si="19"/>
        <v>54</v>
      </c>
    </row>
    <row r="261" spans="1:14" x14ac:dyDescent="0.3">
      <c r="A261" s="2" t="s">
        <v>289</v>
      </c>
      <c r="B261" s="2" t="s">
        <v>198</v>
      </c>
      <c r="C261" s="2" t="s">
        <v>157</v>
      </c>
      <c r="D261" s="2" t="s">
        <v>293</v>
      </c>
      <c r="E261" s="4">
        <v>0</v>
      </c>
      <c r="F261" s="7">
        <v>96</v>
      </c>
      <c r="G261" s="2">
        <v>2</v>
      </c>
      <c r="H261" s="2">
        <v>4.5999999999999996</v>
      </c>
      <c r="I261" s="2">
        <v>12</v>
      </c>
      <c r="J261" s="2" t="s">
        <v>553</v>
      </c>
      <c r="K261" s="2" t="str">
        <f t="shared" si="16"/>
        <v>Free</v>
      </c>
      <c r="L261" s="2" t="str">
        <f t="shared" si="17"/>
        <v>Excellent</v>
      </c>
      <c r="M261" s="2" t="str">
        <f t="shared" si="18"/>
        <v>Free Plan</v>
      </c>
      <c r="N261" s="14">
        <f t="shared" si="19"/>
        <v>55.199999999999996</v>
      </c>
    </row>
    <row r="262" spans="1:14" x14ac:dyDescent="0.3">
      <c r="A262" s="2" t="s">
        <v>290</v>
      </c>
      <c r="B262" s="2" t="s">
        <v>198</v>
      </c>
      <c r="C262" s="2" t="s">
        <v>157</v>
      </c>
      <c r="D262" s="2" t="s">
        <v>293</v>
      </c>
      <c r="E262" s="4">
        <v>0</v>
      </c>
      <c r="F262" s="7">
        <v>7.49</v>
      </c>
      <c r="G262" s="2">
        <v>2</v>
      </c>
      <c r="H262" s="2">
        <v>4.7</v>
      </c>
      <c r="I262" s="2">
        <v>12</v>
      </c>
      <c r="J262" s="2" t="s">
        <v>554</v>
      </c>
      <c r="K262" s="2" t="str">
        <f t="shared" si="16"/>
        <v>Free</v>
      </c>
      <c r="L262" s="2" t="str">
        <f t="shared" si="17"/>
        <v>Excellent</v>
      </c>
      <c r="M262" s="2" t="str">
        <f t="shared" si="18"/>
        <v>Free Plan</v>
      </c>
      <c r="N262" s="14">
        <f t="shared" si="19"/>
        <v>56.400000000000006</v>
      </c>
    </row>
    <row r="263" spans="1:14" x14ac:dyDescent="0.3">
      <c r="A263" s="2" t="s">
        <v>172</v>
      </c>
      <c r="B263" s="2" t="s">
        <v>199</v>
      </c>
      <c r="C263" s="2" t="s">
        <v>157</v>
      </c>
      <c r="D263" s="2" t="s">
        <v>293</v>
      </c>
      <c r="E263" s="4">
        <v>0</v>
      </c>
      <c r="F263" s="7">
        <v>29.99</v>
      </c>
      <c r="G263" s="2">
        <v>3</v>
      </c>
      <c r="H263" s="2">
        <v>4.0999999999999996</v>
      </c>
      <c r="I263" s="2">
        <v>12</v>
      </c>
      <c r="J263" s="2" t="s">
        <v>555</v>
      </c>
      <c r="K263" s="2" t="str">
        <f t="shared" si="16"/>
        <v>Free</v>
      </c>
      <c r="L263" s="2" t="str">
        <f t="shared" si="17"/>
        <v>Good</v>
      </c>
      <c r="M263" s="2" t="str">
        <f t="shared" si="18"/>
        <v>Free Plan</v>
      </c>
      <c r="N263" s="14">
        <f t="shared" si="19"/>
        <v>49.199999999999996</v>
      </c>
    </row>
    <row r="264" spans="1:14" x14ac:dyDescent="0.3">
      <c r="A264" s="2" t="s">
        <v>173</v>
      </c>
      <c r="B264" s="2" t="s">
        <v>200</v>
      </c>
      <c r="C264" s="2" t="s">
        <v>157</v>
      </c>
      <c r="D264" s="2" t="s">
        <v>294</v>
      </c>
      <c r="E264" s="4">
        <v>79</v>
      </c>
      <c r="F264" s="7">
        <v>399</v>
      </c>
      <c r="G264" s="2">
        <v>3</v>
      </c>
      <c r="H264" s="2">
        <v>4.4000000000000004</v>
      </c>
      <c r="I264" s="2">
        <v>12</v>
      </c>
      <c r="J264" s="2" t="s">
        <v>556</v>
      </c>
      <c r="K264" s="2" t="str">
        <f t="shared" si="16"/>
        <v>High</v>
      </c>
      <c r="L264" s="2" t="str">
        <f t="shared" si="17"/>
        <v>Good</v>
      </c>
      <c r="M264" s="2" t="str">
        <f t="shared" si="18"/>
        <v>No Free Plan</v>
      </c>
      <c r="N264" s="14">
        <f t="shared" si="19"/>
        <v>0.66</v>
      </c>
    </row>
    <row r="265" spans="1:14" x14ac:dyDescent="0.3">
      <c r="A265" s="2" t="s">
        <v>174</v>
      </c>
      <c r="B265" s="2" t="s">
        <v>200</v>
      </c>
      <c r="C265" s="2" t="s">
        <v>157</v>
      </c>
      <c r="D265" s="2" t="s">
        <v>294</v>
      </c>
      <c r="E265" s="4">
        <v>79</v>
      </c>
      <c r="F265" s="7">
        <v>169</v>
      </c>
      <c r="G265" s="2">
        <v>2</v>
      </c>
      <c r="H265" s="2">
        <v>4.3</v>
      </c>
      <c r="I265" s="2">
        <v>12</v>
      </c>
      <c r="J265" s="2" t="s">
        <v>557</v>
      </c>
      <c r="K265" s="2" t="str">
        <f t="shared" si="16"/>
        <v>High</v>
      </c>
      <c r="L265" s="2" t="str">
        <f t="shared" si="17"/>
        <v>Good</v>
      </c>
      <c r="M265" s="2" t="str">
        <f t="shared" si="18"/>
        <v>No Free Plan</v>
      </c>
      <c r="N265" s="14">
        <f t="shared" si="19"/>
        <v>0.64499999999999991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Analysis</vt:lpstr>
      <vt:lpstr>Analysis Report</vt:lpstr>
      <vt:lpstr>saas-market-2026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medhavi kardam</dc:creator>
  <cp:lastModifiedBy>medhavi kardam</cp:lastModifiedBy>
  <dcterms:created xsi:type="dcterms:W3CDTF">2026-08-07T18:51:52Z</dcterms:created>
  <dcterms:modified xsi:type="dcterms:W3CDTF">2026-08-15T14:15:23Z</dcterms:modified>
</cp:coreProperties>
</file>